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SITUACIÓN" sheetId="1" r:id="rId5"/>
    <sheet state="visible" name="SIMULACIÓN" sheetId="2" r:id="rId6"/>
    <sheet state="hidden" name="Hoja2" sheetId="3" r:id="rId7"/>
  </sheets>
  <definedNames/>
  <calcPr/>
  <extLst>
    <ext uri="GoogleSheetsCustomDataVersion1">
      <go:sheetsCustomData xmlns:go="http://customooxmlschemas.google.com/" r:id="rId8" roundtripDataSignature="AMtx7mgm6JNffTWuQBwnu3/rHNwR+QDDHw=="/>
    </ext>
  </extLst>
</workbook>
</file>

<file path=xl/sharedStrings.xml><?xml version="1.0" encoding="utf-8"?>
<sst xmlns="http://schemas.openxmlformats.org/spreadsheetml/2006/main" count="188" uniqueCount="116">
  <si>
    <t xml:space="preserve">                                                                                                                                      MODELO MATEMÁTICO</t>
  </si>
  <si>
    <t>PARÁMETROS INICIALES</t>
  </si>
  <si>
    <t>POSIBILIDADES DE INVERSIÓN INICIAL INDUSTRIA TECNOLÓGICA (I1) [USD]</t>
  </si>
  <si>
    <t>POSIBILIDADES DE INVERSIÓN INICIAL INDUSTRIA INMOBILIARIA (I2) [USD]</t>
  </si>
  <si>
    <t>POSIBILIDADES DE INVERSIÓN INICIAL INDUSTRIA MANUFACTURERA (I3) [USD]</t>
  </si>
  <si>
    <t>POSIBILIDADES DE INVERSIÓN INICIAL INDUSTRIA FINANCIERA (I4) [USD]</t>
  </si>
  <si>
    <t>POSIBILIDADES DE PLAZO PARA OBTENER LA RENTABILIDAD ESPERADA (T) [años]</t>
  </si>
  <si>
    <t xml:space="preserve">POSIBILIDADES DE PROYECTOS QUE DEBEN SER RENTABLES (R) </t>
  </si>
  <si>
    <t>POSIBILIDADES DE PORCENTAJE DE LA RENTABILIDAD QUE QUEDA COMO GANANCIA LIBRE (H)</t>
  </si>
  <si>
    <t>Valor mínimo</t>
  </si>
  <si>
    <t>Valor máximo</t>
  </si>
  <si>
    <t>Posibilidad</t>
  </si>
  <si>
    <t>Proyecto</t>
  </si>
  <si>
    <t>Industria tecnológica</t>
  </si>
  <si>
    <t>Industria inmobiliaria</t>
  </si>
  <si>
    <t>Industria manufacturera</t>
  </si>
  <si>
    <t>Industria financiera</t>
  </si>
  <si>
    <t>PARÁMETROS DE LA INDUSTRIA TECNOLÓGICA</t>
  </si>
  <si>
    <t>POSIBILIDADES DE TIR MÍNIMO PARA INTERPOLAR EN INDUSTRIA TECNOLÓGICA</t>
  </si>
  <si>
    <t>POSIBILIDADES DE TIR MÁXIMO PARA INTERPOLAR EN INDUSTRIA TECNOLÓGICA</t>
  </si>
  <si>
    <t>POSIBILIDADES DE COSTO DE OPORTUNIDAD EN INDUSTRIA TECNOLÓGICA (k1)</t>
  </si>
  <si>
    <t>TIR mínimo</t>
  </si>
  <si>
    <t>TIR máximo</t>
  </si>
  <si>
    <t>Valor intermedio</t>
  </si>
  <si>
    <t>PARÁMETROS DE LA INDUSTRIA INMOBILIARIA</t>
  </si>
  <si>
    <t>POSIBILIDADES DE PRECIO DE VENTA DEL APARTAMENTO EN INDUSTRIA INMOBILIARIA (V2) [USD]</t>
  </si>
  <si>
    <t>POSIBILIDADES DE TIR MÍNIMO PARA INTERPOLAR EN INDUSTRIA INMOBILIARIA</t>
  </si>
  <si>
    <t>POSIBILIDADES DE TIR MÁXIMO PARA INTERPOLAR EN INDUSTRIA INMOBILIARIA</t>
  </si>
  <si>
    <t>POSIBILIDADES DE COSTO DE OPORTUNIDAD EN INDUSTRIA INMOBILIARIA (k2)</t>
  </si>
  <si>
    <t>PARÁMETROS DE LA INDUSTRIA MANUFACTURERA</t>
  </si>
  <si>
    <t>POSIBILIDADES DE UNIDADES PRODUCIDAS ANUALMENTE EN INDUSTRIA MANUFACTURERA (U)</t>
  </si>
  <si>
    <t>POSIBILIDADES DE TIR MÍNIMO PARA INTERPOLAR EN INDUSTRIA MANUFACTURERA</t>
  </si>
  <si>
    <t>POSIBILIDADES DE TIR MÁXIMO PARA INTERPOLAR EN INDUSTRIA MANUFACTURERA</t>
  </si>
  <si>
    <t>POSIBILIDADES DE COSTO DE OPORTUNIDAD EN INDUSTRIA MANUFACTURERA (k3)</t>
  </si>
  <si>
    <t>PARÁMETROS DE LA INDUSTRIA FINANCIERA</t>
  </si>
  <si>
    <t>POSIBILIDADES DE TIR MÍNIMO PARA INTERPOLAR EN INDUSTRIA FINANCIERA</t>
  </si>
  <si>
    <t>POSIBILIDADES DE TIR MÁXIMO PARA INTERPOLAR EN INDUSTRIA FINANCIERA</t>
  </si>
  <si>
    <t>POSIBILIDADES DE COSTO DE OPORTUNIDAD EN INDUSTRIA FINANCIERA (k4)</t>
  </si>
  <si>
    <t>SITUACIÓN DESIGNADA POR LA ALEATORIEDAD</t>
  </si>
  <si>
    <t>INVERSIONES INICIALES Y PLAZO TOTAL</t>
  </si>
  <si>
    <t>Inversión inicial Industria tecnológica (I1) [USD]</t>
  </si>
  <si>
    <t>Inversión inicial Industria inmobiliaria (I2) [USD]</t>
  </si>
  <si>
    <t>Inversión inicial Industria manufacturera (I3) [USD]</t>
  </si>
  <si>
    <t>Inversión inicial Industria financiera (I4) [USD]</t>
  </si>
  <si>
    <t>Plazo para obtener la rentabilidad esperada (T) [años]</t>
  </si>
  <si>
    <t>Primer proyecto rentable (R1)</t>
  </si>
  <si>
    <t>Segundo proyecto rentable (R2)</t>
  </si>
  <si>
    <t>Capital disponible para invertir (M) [USD]</t>
  </si>
  <si>
    <t>Porcentaje de la rentabilidad que debe quedar como ganancia libre (H)</t>
  </si>
  <si>
    <t>Valor total de deuda (D) [USD]</t>
  </si>
  <si>
    <t>CONDICIONES DE INDUSTRIA TECNOLÓGICA</t>
  </si>
  <si>
    <t>Gastos anuales de personal industria tecnológica (GP1) [USD]</t>
  </si>
  <si>
    <t>Gastos anuales de publicidad e impuestos industria tecnológica (GPUI1) [USD]</t>
  </si>
  <si>
    <t>Ventas anuales industria tecnológica (V1) [USD]</t>
  </si>
  <si>
    <t>Flujo de caja anual industria tecnológica (FCA1) [USD]</t>
  </si>
  <si>
    <t>TIR mímo para interpolación</t>
  </si>
  <si>
    <t>TIR máximo para interpolación</t>
  </si>
  <si>
    <t>Costo de oportunidad industria tecnológica (k1)</t>
  </si>
  <si>
    <t>CONDICIONES DE INDUSTRIA INMOBILIARIA</t>
  </si>
  <si>
    <t>Gastos anuales de mantenimiento industria inmobiliaria (GM2) [USD]</t>
  </si>
  <si>
    <t>Gastos anuales de impuestos industria inmobiliaria (GI2) [USD]</t>
  </si>
  <si>
    <t>Arrendamiento anual del apartamento (A) [USD]</t>
  </si>
  <si>
    <t>Precio de venta del apartamento (PV) [USD]</t>
  </si>
  <si>
    <t>Flujo de caja anual industria inmobiliaria (FCA2) [USD]</t>
  </si>
  <si>
    <t>Costo de oportunidad industria inmobiliaria (k2)</t>
  </si>
  <si>
    <t>CONDICIONES DE INDUSTRIA MANUFACTURERA</t>
  </si>
  <si>
    <t>Unidades producidas anualmente industria manufacturera (U)</t>
  </si>
  <si>
    <t>Costo unitario de producción industria manufacturera (CU3) [USD]</t>
  </si>
  <si>
    <t>Gastos anuales operacionales anuales industria manufacturera (GO3) [USD]</t>
  </si>
  <si>
    <t>Gastos anuales de publicidad e impuestos industria manufacturera (GPUI3) [USD]</t>
  </si>
  <si>
    <t>Precio de venta unitario industria manufacturera (PU3) [USD]</t>
  </si>
  <si>
    <t>Flujo de caja anual industria manufacturera (FCA3) [USD]</t>
  </si>
  <si>
    <t>Costo de oportunidad industria manufacturera (k3)</t>
  </si>
  <si>
    <t>CONDICIONES DE INDUSTRIA FINANCIERA</t>
  </si>
  <si>
    <t>Producción anual industria financiera (PA4) [USD]</t>
  </si>
  <si>
    <t>TABLA AUXILIAR</t>
  </si>
  <si>
    <t>Flujo de caja</t>
  </si>
  <si>
    <t>Año 0</t>
  </si>
  <si>
    <t>Año 1</t>
  </si>
  <si>
    <t>Año 2</t>
  </si>
  <si>
    <t>Año 3</t>
  </si>
  <si>
    <t>Año 4</t>
  </si>
  <si>
    <t>Año 5</t>
  </si>
  <si>
    <t>Cálculo de puntos de interpolación</t>
  </si>
  <si>
    <t>TIR para VAN=0 USD</t>
  </si>
  <si>
    <t>VAN para el costo de oportunidad</t>
  </si>
  <si>
    <t>Posibles TIR</t>
  </si>
  <si>
    <t>Resultados de VAN</t>
  </si>
  <si>
    <t>Industria</t>
  </si>
  <si>
    <t>TIR</t>
  </si>
  <si>
    <t>k</t>
  </si>
  <si>
    <t>VAN [USD]</t>
  </si>
  <si>
    <t>Tecnológica</t>
  </si>
  <si>
    <t>Inmobiliara</t>
  </si>
  <si>
    <t>Manufacturera</t>
  </si>
  <si>
    <t>Financiera</t>
  </si>
  <si>
    <t>MODELO MATEMÁTICO</t>
  </si>
  <si>
    <t>REGISTRO DE DATOS</t>
  </si>
  <si>
    <t>VAN Proyecto industria tecnológica [USD]</t>
  </si>
  <si>
    <t>TIR Proyecto industria tecnológica [%]</t>
  </si>
  <si>
    <t>VAN Proyecto industria inmobiliaria [USD]</t>
  </si>
  <si>
    <t>TIR Proyecto industria inmobiliaria [%]</t>
  </si>
  <si>
    <t>VAN Proyecto industria manufacturera [USD]</t>
  </si>
  <si>
    <t>TIR Proyecto industria manufacturera [%]</t>
  </si>
  <si>
    <t>VAN Proyecto industria financiera [USD]</t>
  </si>
  <si>
    <t>TIR Proyecto industria financiera [%]</t>
  </si>
  <si>
    <t>Ganancia libre después de cubrir deuda [USD]</t>
  </si>
  <si>
    <t>Porcentaje de la rentabilidad que queda de ganancia [%]</t>
  </si>
  <si>
    <t>PROYECTO</t>
  </si>
  <si>
    <t>DECISIÓN</t>
  </si>
  <si>
    <t>VALIDACIÓN DEL PROCEDIMIENTO</t>
  </si>
  <si>
    <t>Invertir</t>
  </si>
  <si>
    <t>No invertir</t>
  </si>
  <si>
    <t>Inversión inicial total (It) [USD]</t>
  </si>
  <si>
    <t>Suma de los VAN [USD]</t>
  </si>
  <si>
    <t>Decisión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</si>
</sst>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5">
    <numFmt numFmtId="164" formatCode="_-&quot;$&quot;\ * #,##0.00_-;\-&quot;$&quot;\ * #,##0.00_-;_-&quot;$&quot;\ * &quot;-&quot;??_-;_-@"/>
    <numFmt numFmtId="165" formatCode="0.0%"/>
    <numFmt numFmtId="166" formatCode="_-&quot;$&quot;\ * #,##0.000000_-;\-&quot;$&quot;\ * #,##0.000000_-;_-&quot;$&quot;\ * &quot;-&quot;??_-;_-@"/>
    <numFmt numFmtId="167" formatCode="&quot;$&quot;\ #,##0"/>
    <numFmt numFmtId="168" formatCode="&quot;$&quot;\ #,##0.00"/>
  </numFmts>
  <fonts count="15">
    <font>
      <sz val="11.0"/>
      <color theme="1"/>
      <name val="Calibri"/>
      <scheme val="minor"/>
    </font>
    <font>
      <b/>
      <sz val="16.0"/>
      <color theme="0"/>
      <name val="Tahoma"/>
    </font>
    <font/>
    <font>
      <sz val="11.0"/>
      <color theme="1"/>
      <name val="Tahoma"/>
    </font>
    <font>
      <b/>
      <sz val="11.0"/>
      <color theme="1"/>
      <name val="Tahoma"/>
    </font>
    <font>
      <sz val="11.0"/>
      <color rgb="FFA5A5A5"/>
      <name val="Tahoma"/>
    </font>
    <font>
      <b/>
      <sz val="11.0"/>
      <color rgb="FFC00000"/>
      <name val="Tahoma"/>
    </font>
    <font>
      <b/>
      <sz val="11.0"/>
      <color rgb="FFFF0000"/>
      <name val="Tahoma"/>
    </font>
    <font>
      <sz val="14.0"/>
      <color rgb="FFFF0000"/>
      <name val="Tahoma"/>
    </font>
    <font>
      <b/>
      <sz val="11.0"/>
      <color rgb="FF7F7F7F"/>
      <name val="Tahoma"/>
    </font>
    <font>
      <sz val="11.0"/>
      <color rgb="FF7F7F7F"/>
      <name val="Tahoma"/>
    </font>
    <font>
      <b/>
      <sz val="11.0"/>
      <color rgb="FFFFFFFF"/>
      <name val="Tahoma"/>
    </font>
    <font>
      <sz val="11.0"/>
      <color rgb="FFBFBFBF"/>
      <name val="Tahoma"/>
    </font>
    <font>
      <b/>
      <sz val="11.0"/>
      <color theme="0"/>
      <name val="Tahoma"/>
    </font>
    <font>
      <color theme="1"/>
      <name val="Calibri"/>
      <scheme val="minor"/>
    </font>
  </fonts>
  <fills count="12">
    <fill>
      <patternFill patternType="none"/>
    </fill>
    <fill>
      <patternFill patternType="lightGray"/>
    </fill>
    <fill>
      <patternFill patternType="solid">
        <fgColor rgb="FF1E4E79"/>
        <bgColor rgb="FF1E4E79"/>
      </patternFill>
    </fill>
    <fill>
      <patternFill patternType="solid">
        <fgColor rgb="FFB4C6E7"/>
        <bgColor rgb="FFB4C6E7"/>
      </patternFill>
    </fill>
    <fill>
      <patternFill patternType="solid">
        <fgColor rgb="FFFFE598"/>
        <bgColor rgb="FFFFE598"/>
      </patternFill>
    </fill>
    <fill>
      <patternFill patternType="solid">
        <fgColor rgb="FFF7CAAC"/>
        <bgColor rgb="FFF7CAAC"/>
      </patternFill>
    </fill>
    <fill>
      <patternFill patternType="solid">
        <fgColor rgb="FFC5E0B3"/>
        <bgColor rgb="FFC5E0B3"/>
      </patternFill>
    </fill>
    <fill>
      <patternFill patternType="solid">
        <fgColor rgb="FFFFC000"/>
        <bgColor rgb="FFFFC000"/>
      </patternFill>
    </fill>
    <fill>
      <patternFill patternType="solid">
        <fgColor rgb="FF8EAADB"/>
        <bgColor rgb="FF8EAADB"/>
      </patternFill>
    </fill>
    <fill>
      <patternFill patternType="solid">
        <fgColor rgb="FFBFBFBF"/>
        <bgColor rgb="FFBFBFBF"/>
      </patternFill>
    </fill>
    <fill>
      <patternFill patternType="solid">
        <fgColor rgb="FFD9E2F3"/>
        <bgColor rgb="FFD9E2F3"/>
      </patternFill>
    </fill>
    <fill>
      <patternFill patternType="solid">
        <fgColor rgb="FFFFFF00"/>
        <bgColor rgb="FFFFFF00"/>
      </patternFill>
    </fill>
  </fills>
  <borders count="15">
    <border/>
    <border>
      <left/>
      <top/>
      <bottom/>
    </border>
    <border>
      <top/>
      <bottom/>
    </border>
    <border>
      <right/>
      <top/>
      <bottom/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 style="thin">
        <color rgb="FF000000"/>
      </left>
    </border>
    <border>
      <right style="thin">
        <color rgb="FF000000"/>
      </right>
    </border>
    <border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bottom style="thin">
        <color rgb="FF000000"/>
      </bottom>
    </border>
  </borders>
  <cellStyleXfs count="1">
    <xf borderId="0" fillId="0" fontId="0" numFmtId="0" applyAlignment="1" applyFont="1"/>
  </cellStyleXfs>
  <cellXfs count="99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left" shrinkToFit="0" vertical="center" wrapText="1"/>
    </xf>
    <xf borderId="2" fillId="0" fontId="2" numFmtId="0" xfId="0" applyBorder="1" applyFont="1"/>
    <xf borderId="3" fillId="0" fontId="2" numFmtId="0" xfId="0" applyBorder="1" applyFont="1"/>
    <xf borderId="0" fillId="0" fontId="3" numFmtId="0" xfId="0" applyAlignment="1" applyFont="1">
      <alignment horizontal="center" shrinkToFit="0" vertical="center" wrapText="1"/>
    </xf>
    <xf borderId="4" fillId="3" fontId="4" numFmtId="0" xfId="0" applyAlignment="1" applyBorder="1" applyFill="1" applyFont="1">
      <alignment horizontal="center" shrinkToFit="0" vertical="center" wrapText="1"/>
    </xf>
    <xf borderId="5" fillId="0" fontId="2" numFmtId="0" xfId="0" applyBorder="1" applyFont="1"/>
    <xf borderId="6" fillId="0" fontId="2" numFmtId="0" xfId="0" applyBorder="1" applyFont="1"/>
    <xf borderId="0" fillId="0" fontId="5" numFmtId="0" xfId="0" applyAlignment="1" applyFont="1">
      <alignment horizontal="center" shrinkToFit="0" vertical="center" wrapText="1"/>
    </xf>
    <xf borderId="7" fillId="3" fontId="4" numFmtId="0" xfId="0" applyAlignment="1" applyBorder="1" applyFont="1">
      <alignment horizontal="center" shrinkToFit="0" vertical="center" wrapText="1"/>
    </xf>
    <xf borderId="7" fillId="0" fontId="3" numFmtId="164" xfId="0" applyAlignment="1" applyBorder="1" applyFont="1" applyNumberFormat="1">
      <alignment horizontal="center" shrinkToFit="0" vertical="center" wrapText="1"/>
    </xf>
    <xf borderId="7" fillId="0" fontId="3" numFmtId="1" xfId="0" applyAlignment="1" applyBorder="1" applyFont="1" applyNumberFormat="1">
      <alignment horizontal="center" shrinkToFit="0" vertical="center" wrapText="1"/>
    </xf>
    <xf borderId="7" fillId="0" fontId="4" numFmtId="1" xfId="0" applyAlignment="1" applyBorder="1" applyFont="1" applyNumberFormat="1">
      <alignment horizontal="center" shrinkToFit="0" vertical="center" wrapText="1"/>
    </xf>
    <xf borderId="7" fillId="0" fontId="3" numFmtId="9" xfId="0" applyAlignment="1" applyBorder="1" applyFont="1" applyNumberFormat="1">
      <alignment horizontal="center" shrinkToFit="0" vertical="center" wrapText="1"/>
    </xf>
    <xf borderId="0" fillId="0" fontId="3" numFmtId="164" xfId="0" applyAlignment="1" applyFont="1" applyNumberFormat="1">
      <alignment horizontal="center" shrinkToFit="0" vertical="center" wrapText="1"/>
    </xf>
    <xf borderId="0" fillId="0" fontId="3" numFmtId="1" xfId="0" applyAlignment="1" applyFont="1" applyNumberFormat="1">
      <alignment horizontal="center" shrinkToFit="0" vertical="center" wrapText="1"/>
    </xf>
    <xf borderId="7" fillId="0" fontId="4" numFmtId="0" xfId="0" applyAlignment="1" applyBorder="1" applyFont="1">
      <alignment horizontal="center" shrinkToFit="0" vertical="center" wrapText="1"/>
    </xf>
    <xf borderId="7" fillId="0" fontId="3" numFmtId="0" xfId="0" applyAlignment="1" applyBorder="1" applyFont="1">
      <alignment horizontal="center" shrinkToFit="0" vertical="center" wrapText="1"/>
    </xf>
    <xf borderId="4" fillId="4" fontId="4" numFmtId="0" xfId="0" applyAlignment="1" applyBorder="1" applyFill="1" applyFont="1">
      <alignment horizontal="center" shrinkToFit="0" vertical="center" wrapText="1"/>
    </xf>
    <xf borderId="0" fillId="0" fontId="4" numFmtId="0" xfId="0" applyAlignment="1" applyFont="1">
      <alignment shrinkToFit="0" vertical="center" wrapText="1"/>
    </xf>
    <xf borderId="7" fillId="4" fontId="4" numFmtId="0" xfId="0" applyAlignment="1" applyBorder="1" applyFont="1">
      <alignment horizontal="center" shrinkToFit="0" vertical="center" wrapText="1"/>
    </xf>
    <xf borderId="7" fillId="0" fontId="3" numFmtId="165" xfId="0" applyAlignment="1" applyBorder="1" applyFont="1" applyNumberFormat="1">
      <alignment horizontal="center" shrinkToFit="0" vertical="center" wrapText="1"/>
    </xf>
    <xf borderId="4" fillId="5" fontId="4" numFmtId="0" xfId="0" applyAlignment="1" applyBorder="1" applyFill="1" applyFont="1">
      <alignment horizontal="center" shrinkToFit="0" vertical="center" wrapText="1"/>
    </xf>
    <xf borderId="0" fillId="0" fontId="3" numFmtId="166" xfId="0" applyAlignment="1" applyFont="1" applyNumberFormat="1">
      <alignment horizontal="center" shrinkToFit="0" vertical="center" wrapText="1"/>
    </xf>
    <xf borderId="7" fillId="5" fontId="4" numFmtId="0" xfId="0" applyAlignment="1" applyBorder="1" applyFont="1">
      <alignment horizontal="center" shrinkToFit="0" vertical="center" wrapText="1"/>
    </xf>
    <xf borderId="4" fillId="6" fontId="4" numFmtId="0" xfId="0" applyAlignment="1" applyBorder="1" applyFill="1" applyFont="1">
      <alignment horizontal="center" shrinkToFit="0" vertical="center" wrapText="1"/>
    </xf>
    <xf borderId="7" fillId="6" fontId="4" numFmtId="0" xfId="0" applyAlignment="1" applyBorder="1" applyFont="1">
      <alignment horizontal="center" shrinkToFit="0" vertical="center" wrapText="1"/>
    </xf>
    <xf borderId="8" fillId="6" fontId="4" numFmtId="0" xfId="0" applyAlignment="1" applyBorder="1" applyFont="1">
      <alignment horizontal="center" shrinkToFit="0" vertical="center" wrapText="1"/>
    </xf>
    <xf borderId="4" fillId="7" fontId="4" numFmtId="0" xfId="0" applyAlignment="1" applyBorder="1" applyFill="1" applyFont="1">
      <alignment horizontal="center" shrinkToFit="0" vertical="center" wrapText="1"/>
    </xf>
    <xf borderId="7" fillId="7" fontId="4" numFmtId="0" xfId="0" applyAlignment="1" applyBorder="1" applyFont="1">
      <alignment horizontal="center" shrinkToFit="0" vertical="center" wrapText="1"/>
    </xf>
    <xf borderId="4" fillId="0" fontId="6" numFmtId="0" xfId="0" applyAlignment="1" applyBorder="1" applyFont="1">
      <alignment horizontal="center" shrinkToFit="0" vertical="center" wrapText="1"/>
    </xf>
    <xf borderId="0" fillId="0" fontId="6" numFmtId="0" xfId="0" applyAlignment="1" applyFont="1">
      <alignment shrinkToFit="0" vertical="center" wrapText="1"/>
    </xf>
    <xf borderId="9" fillId="0" fontId="6" numFmtId="0" xfId="0" applyAlignment="1" applyBorder="1" applyFont="1">
      <alignment horizontal="center" shrinkToFit="0" vertical="center" wrapText="1"/>
    </xf>
    <xf borderId="0" fillId="0" fontId="6" numFmtId="0" xfId="0" applyAlignment="1" applyFont="1">
      <alignment horizontal="center" shrinkToFit="0" vertical="center" wrapText="1"/>
    </xf>
    <xf borderId="10" fillId="0" fontId="6" numFmtId="0" xfId="0" applyAlignment="1" applyBorder="1" applyFont="1">
      <alignment horizontal="center" shrinkToFit="0" vertical="center" wrapText="1"/>
    </xf>
    <xf borderId="4" fillId="3" fontId="7" numFmtId="0" xfId="0" applyAlignment="1" applyBorder="1" applyFont="1">
      <alignment horizontal="center" shrinkToFit="0" vertical="center" wrapText="1"/>
    </xf>
    <xf borderId="0" fillId="0" fontId="4" numFmtId="0" xfId="0" applyAlignment="1" applyFont="1">
      <alignment horizontal="center" shrinkToFit="0" vertical="center" wrapText="1"/>
    </xf>
    <xf borderId="7" fillId="0" fontId="8" numFmtId="167" xfId="0" applyAlignment="1" applyBorder="1" applyFont="1" applyNumberFormat="1">
      <alignment horizontal="center" shrinkToFit="0" vertical="center" wrapText="1"/>
    </xf>
    <xf borderId="7" fillId="0" fontId="8" numFmtId="1" xfId="0" applyAlignment="1" applyBorder="1" applyFont="1" applyNumberFormat="1">
      <alignment horizontal="center" shrinkToFit="0" vertical="center" wrapText="1"/>
    </xf>
    <xf borderId="7" fillId="0" fontId="8" numFmtId="2" xfId="0" applyAlignment="1" applyBorder="1" applyFont="1" applyNumberFormat="1">
      <alignment horizontal="center" shrinkToFit="0" vertical="center" wrapText="1"/>
    </xf>
    <xf borderId="7" fillId="0" fontId="8" numFmtId="9" xfId="0" applyAlignment="1" applyBorder="1" applyFont="1" applyNumberFormat="1">
      <alignment horizontal="center" shrinkToFit="0" vertical="center" wrapText="1"/>
    </xf>
    <xf borderId="0" fillId="0" fontId="8" numFmtId="2" xfId="0" applyAlignment="1" applyFont="1" applyNumberFormat="1">
      <alignment horizontal="center" shrinkToFit="0" vertical="center" wrapText="1"/>
    </xf>
    <xf borderId="0" fillId="0" fontId="8" numFmtId="168" xfId="0" applyAlignment="1" applyFont="1" applyNumberFormat="1">
      <alignment horizontal="center" shrinkToFit="0" vertical="center" wrapText="1"/>
    </xf>
    <xf borderId="9" fillId="0" fontId="8" numFmtId="1" xfId="0" applyAlignment="1" applyBorder="1" applyFont="1" applyNumberFormat="1">
      <alignment horizontal="center" shrinkToFit="0" vertical="center" wrapText="1"/>
    </xf>
    <xf borderId="0" fillId="0" fontId="8" numFmtId="1" xfId="0" applyAlignment="1" applyFont="1" applyNumberFormat="1">
      <alignment horizontal="center" shrinkToFit="0" vertical="center" wrapText="1"/>
    </xf>
    <xf borderId="10" fillId="0" fontId="8" numFmtId="1" xfId="0" applyAlignment="1" applyBorder="1" applyFont="1" applyNumberFormat="1">
      <alignment horizontal="center" shrinkToFit="0" vertical="center" wrapText="1"/>
    </xf>
    <xf borderId="4" fillId="4" fontId="7" numFmtId="0" xfId="0" applyAlignment="1" applyBorder="1" applyFont="1">
      <alignment horizontal="center" shrinkToFit="0" vertical="center" wrapText="1"/>
    </xf>
    <xf borderId="10" fillId="0" fontId="6" numFmtId="0" xfId="0" applyAlignment="1" applyBorder="1" applyFont="1">
      <alignment shrinkToFit="0" vertical="center" wrapText="1"/>
    </xf>
    <xf borderId="7" fillId="0" fontId="4" numFmtId="168" xfId="0" applyAlignment="1" applyBorder="1" applyFont="1" applyNumberFormat="1">
      <alignment horizontal="center" shrinkToFit="0" vertical="center" wrapText="1"/>
    </xf>
    <xf borderId="10" fillId="0" fontId="4" numFmtId="0" xfId="0" applyAlignment="1" applyBorder="1" applyFont="1">
      <alignment horizontal="center" shrinkToFit="0" vertical="center" wrapText="1"/>
    </xf>
    <xf borderId="7" fillId="0" fontId="8" numFmtId="10" xfId="0" applyAlignment="1" applyBorder="1" applyFont="1" applyNumberFormat="1">
      <alignment horizontal="center" shrinkToFit="0" vertical="center" wrapText="1"/>
    </xf>
    <xf borderId="10" fillId="0" fontId="8" numFmtId="2" xfId="0" applyAlignment="1" applyBorder="1" applyFont="1" applyNumberFormat="1">
      <alignment horizontal="center" shrinkToFit="0" vertical="center" wrapText="1"/>
    </xf>
    <xf borderId="4" fillId="5" fontId="7" numFmtId="0" xfId="0" applyAlignment="1" applyBorder="1" applyFont="1">
      <alignment horizontal="center" shrinkToFit="0" vertical="center" wrapText="1"/>
    </xf>
    <xf borderId="4" fillId="6" fontId="7" numFmtId="0" xfId="0" applyAlignment="1" applyBorder="1" applyFont="1">
      <alignment horizontal="center" shrinkToFit="0" vertical="center" wrapText="1"/>
    </xf>
    <xf borderId="7" fillId="0" fontId="8" numFmtId="168" xfId="0" applyAlignment="1" applyBorder="1" applyFont="1" applyNumberFormat="1">
      <alignment horizontal="center" shrinkToFit="0" vertical="center" wrapText="1"/>
    </xf>
    <xf borderId="9" fillId="0" fontId="3" numFmtId="0" xfId="0" applyAlignment="1" applyBorder="1" applyFont="1">
      <alignment horizontal="center" shrinkToFit="0" vertical="center" wrapText="1"/>
    </xf>
    <xf borderId="0" fillId="0" fontId="3" numFmtId="168" xfId="0" applyAlignment="1" applyFont="1" applyNumberFormat="1">
      <alignment horizontal="center" shrinkToFit="0" vertical="center" wrapText="1"/>
    </xf>
    <xf borderId="10" fillId="0" fontId="3" numFmtId="168" xfId="0" applyAlignment="1" applyBorder="1" applyFont="1" applyNumberFormat="1">
      <alignment horizontal="center" shrinkToFit="0" vertical="center" wrapText="1"/>
    </xf>
    <xf borderId="4" fillId="7" fontId="7" numFmtId="0" xfId="0" applyAlignment="1" applyBorder="1" applyFont="1">
      <alignment horizontal="center" shrinkToFit="0" vertical="center" wrapText="1"/>
    </xf>
    <xf borderId="0" fillId="0" fontId="6" numFmtId="1" xfId="0" applyAlignment="1" applyFont="1" applyNumberFormat="1">
      <alignment shrinkToFit="0" vertical="center" wrapText="1"/>
    </xf>
    <xf borderId="0" fillId="0" fontId="6" numFmtId="168" xfId="0" applyAlignment="1" applyFont="1" applyNumberFormat="1">
      <alignment shrinkToFit="0" vertical="center" wrapText="1"/>
    </xf>
    <xf borderId="0" fillId="0" fontId="4" numFmtId="1" xfId="0" applyAlignment="1" applyFont="1" applyNumberFormat="1">
      <alignment horizontal="center" shrinkToFit="0" vertical="center" wrapText="1"/>
    </xf>
    <xf borderId="0" fillId="0" fontId="4" numFmtId="168" xfId="0" applyAlignment="1" applyFont="1" applyNumberFormat="1">
      <alignment horizontal="center" shrinkToFit="0" vertical="center" wrapText="1"/>
    </xf>
    <xf borderId="10" fillId="0" fontId="4" numFmtId="168" xfId="0" applyAlignment="1" applyBorder="1" applyFont="1" applyNumberFormat="1">
      <alignment horizontal="center" shrinkToFit="0" vertical="center" wrapText="1"/>
    </xf>
    <xf borderId="11" fillId="0" fontId="8" numFmtId="2" xfId="0" applyAlignment="1" applyBorder="1" applyFont="1" applyNumberFormat="1">
      <alignment horizontal="center" shrinkToFit="0" vertical="center" wrapText="1"/>
    </xf>
    <xf borderId="11" fillId="0" fontId="8" numFmtId="1" xfId="0" applyAlignment="1" applyBorder="1" applyFont="1" applyNumberFormat="1">
      <alignment horizontal="center" shrinkToFit="0" vertical="center" wrapText="1"/>
    </xf>
    <xf borderId="12" fillId="0" fontId="8" numFmtId="1" xfId="0" applyAlignment="1" applyBorder="1" applyFont="1" applyNumberFormat="1">
      <alignment horizontal="center" shrinkToFit="0" vertical="center" wrapText="1"/>
    </xf>
    <xf borderId="11" fillId="0" fontId="9" numFmtId="0" xfId="0" applyAlignment="1" applyBorder="1" applyFont="1">
      <alignment horizontal="center" shrinkToFit="0" vertical="center" wrapText="1"/>
    </xf>
    <xf borderId="11" fillId="0" fontId="2" numFmtId="0" xfId="0" applyBorder="1" applyFont="1"/>
    <xf borderId="0" fillId="0" fontId="10" numFmtId="0" xfId="0" applyAlignment="1" applyFont="1">
      <alignment horizontal="center" shrinkToFit="0" vertical="center" wrapText="1"/>
    </xf>
    <xf borderId="0" fillId="0" fontId="9" numFmtId="0" xfId="0" applyAlignment="1" applyFont="1">
      <alignment shrinkToFit="0" vertical="center" wrapText="1"/>
    </xf>
    <xf borderId="13" fillId="0" fontId="9" numFmtId="0" xfId="0" applyAlignment="1" applyBorder="1" applyFont="1">
      <alignment horizontal="center" shrinkToFit="0" vertical="center" wrapText="1"/>
    </xf>
    <xf borderId="4" fillId="0" fontId="9" numFmtId="0" xfId="0" applyAlignment="1" applyBorder="1" applyFont="1">
      <alignment horizontal="center" shrinkToFit="0" vertical="center" wrapText="1"/>
    </xf>
    <xf borderId="0" fillId="0" fontId="10" numFmtId="168" xfId="0" applyAlignment="1" applyFont="1" applyNumberFormat="1">
      <alignment horizontal="center" shrinkToFit="0" vertical="center" wrapText="1"/>
    </xf>
    <xf borderId="14" fillId="0" fontId="2" numFmtId="0" xfId="0" applyBorder="1" applyFont="1"/>
    <xf borderId="7" fillId="0" fontId="9" numFmtId="0" xfId="0" applyAlignment="1" applyBorder="1" applyFont="1">
      <alignment horizontal="center" shrinkToFit="0" vertical="center" wrapText="1"/>
    </xf>
    <xf borderId="7" fillId="0" fontId="10" numFmtId="0" xfId="0" applyAlignment="1" applyBorder="1" applyFont="1">
      <alignment horizontal="center" shrinkToFit="0" vertical="center" wrapText="1"/>
    </xf>
    <xf borderId="7" fillId="0" fontId="10" numFmtId="168" xfId="0" applyAlignment="1" applyBorder="1" applyFont="1" applyNumberFormat="1">
      <alignment horizontal="center" shrinkToFit="0" vertical="center" wrapText="1"/>
    </xf>
    <xf borderId="0" fillId="0" fontId="9" numFmtId="0" xfId="0" applyAlignment="1" applyFont="1">
      <alignment horizontal="center" shrinkToFit="0" vertical="center" wrapText="1"/>
    </xf>
    <xf borderId="7" fillId="0" fontId="10" numFmtId="10" xfId="0" applyAlignment="1" applyBorder="1" applyFont="1" applyNumberFormat="1">
      <alignment horizontal="center" shrinkToFit="0" vertical="center" wrapText="1"/>
    </xf>
    <xf borderId="7" fillId="0" fontId="10" numFmtId="9" xfId="0" applyAlignment="1" applyBorder="1" applyFont="1" applyNumberFormat="1">
      <alignment horizontal="center" shrinkToFit="0" vertical="center" wrapText="1"/>
    </xf>
    <xf borderId="0" fillId="0" fontId="3" numFmtId="9" xfId="0" applyAlignment="1" applyFont="1" applyNumberFormat="1">
      <alignment horizontal="center" shrinkToFit="0" vertical="center" wrapText="1"/>
    </xf>
    <xf borderId="0" fillId="0" fontId="10" numFmtId="165" xfId="0" applyAlignment="1" applyFont="1" applyNumberFormat="1">
      <alignment horizontal="center" shrinkToFit="0" vertical="center" wrapText="1"/>
    </xf>
    <xf borderId="0" fillId="0" fontId="10" numFmtId="9" xfId="0" applyAlignment="1" applyFont="1" applyNumberFormat="1">
      <alignment horizontal="center" shrinkToFit="0" vertical="center" wrapText="1"/>
    </xf>
    <xf borderId="1" fillId="2" fontId="1" numFmtId="0" xfId="0" applyAlignment="1" applyBorder="1" applyFont="1">
      <alignment horizontal="center" shrinkToFit="0" vertical="center" wrapText="1"/>
    </xf>
    <xf borderId="4" fillId="8" fontId="4" numFmtId="0" xfId="0" applyAlignment="1" applyBorder="1" applyFill="1" applyFont="1">
      <alignment horizontal="center" shrinkToFit="0" vertical="center" wrapText="1"/>
    </xf>
    <xf borderId="7" fillId="9" fontId="3" numFmtId="168" xfId="0" applyAlignment="1" applyBorder="1" applyFill="1" applyFont="1" applyNumberFormat="1">
      <alignment horizontal="center" shrinkToFit="0" vertical="center" wrapText="1"/>
    </xf>
    <xf borderId="7" fillId="9" fontId="3" numFmtId="10" xfId="0" applyAlignment="1" applyBorder="1" applyFont="1" applyNumberFormat="1">
      <alignment horizontal="center" shrinkToFit="0" vertical="center" wrapText="1"/>
    </xf>
    <xf borderId="7" fillId="10" fontId="3" numFmtId="168" xfId="0" applyAlignment="1" applyBorder="1" applyFill="1" applyFont="1" applyNumberFormat="1">
      <alignment horizontal="center" shrinkToFit="0" vertical="center" wrapText="1"/>
    </xf>
    <xf borderId="7" fillId="10" fontId="3" numFmtId="10" xfId="0" applyAlignment="1" applyBorder="1" applyFont="1" applyNumberFormat="1">
      <alignment horizontal="center" shrinkToFit="0" vertical="center" wrapText="1"/>
    </xf>
    <xf borderId="4" fillId="11" fontId="4" numFmtId="0" xfId="0" applyAlignment="1" applyBorder="1" applyFill="1" applyFont="1">
      <alignment horizontal="center" shrinkToFit="0" vertical="center" wrapText="1"/>
    </xf>
    <xf borderId="7" fillId="5" fontId="4" numFmtId="0" xfId="0" applyAlignment="1" applyBorder="1" applyFont="1">
      <alignment horizontal="left" shrinkToFit="0" vertical="center" wrapText="1"/>
    </xf>
    <xf borderId="7" fillId="8" fontId="11" numFmtId="0" xfId="0" applyAlignment="1" applyBorder="1" applyFont="1">
      <alignment horizontal="center" readingOrder="0" shrinkToFit="0" vertical="center" wrapText="1"/>
    </xf>
    <xf borderId="0" fillId="0" fontId="12" numFmtId="0" xfId="0" applyAlignment="1" applyFont="1">
      <alignment horizontal="left" shrinkToFit="0" vertical="center" wrapText="1"/>
    </xf>
    <xf borderId="7" fillId="8" fontId="13" numFmtId="0" xfId="0" applyAlignment="1" applyBorder="1" applyFont="1">
      <alignment horizontal="center" shrinkToFit="0" vertical="center" wrapText="1"/>
    </xf>
    <xf borderId="4" fillId="0" fontId="12" numFmtId="0" xfId="0" applyAlignment="1" applyBorder="1" applyFont="1">
      <alignment horizontal="center" shrinkToFit="0" vertical="center" wrapText="1"/>
    </xf>
    <xf borderId="7" fillId="0" fontId="12" numFmtId="0" xfId="0" applyAlignment="1" applyBorder="1" applyFont="1">
      <alignment horizontal="center" shrinkToFit="0" vertical="center" wrapText="1"/>
    </xf>
    <xf borderId="7" fillId="0" fontId="12" numFmtId="168" xfId="0" applyAlignment="1" applyBorder="1" applyFont="1" applyNumberFormat="1">
      <alignment horizontal="center" shrinkToFit="0" vertical="center" wrapText="1"/>
    </xf>
    <xf borderId="0" fillId="0" fontId="14" numFmtId="0" xfId="0" applyFont="1"/>
  </cellXfs>
  <cellStyles count="1">
    <cellStyle xfId="0" name="Normal" builtinId="0"/>
  </cellStyles>
  <dxfs count="2">
    <dxf>
      <font>
        <color rgb="FF006100"/>
      </font>
      <fill>
        <patternFill patternType="solid">
          <fgColor rgb="FFC6EFCE"/>
          <bgColor rgb="FFC6EFCE"/>
        </patternFill>
      </fill>
      <border/>
    </dxf>
    <dxf>
      <font>
        <color rgb="FF9C0006"/>
      </font>
      <fill>
        <patternFill patternType="solid">
          <fgColor rgb="FFFFC7CE"/>
          <bgColor rgb="FFFFC7CE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">
    <pageSetUpPr/>
  </sheetPr>
  <sheetViews>
    <sheetView showGridLines="0" workbookViewId="0"/>
  </sheetViews>
  <sheetFormatPr customHeight="1" defaultColWidth="14.43" defaultRowHeight="15.0"/>
  <cols>
    <col customWidth="1" min="1" max="1" width="22.14"/>
    <col customWidth="1" min="2" max="2" width="26.0"/>
    <col customWidth="1" min="3" max="3" width="18.29"/>
    <col customWidth="1" min="4" max="4" width="20.71"/>
    <col customWidth="1" min="5" max="5" width="26.0"/>
    <col customWidth="1" min="6" max="6" width="18.29"/>
    <col customWidth="1" min="7" max="7" width="20.71"/>
    <col customWidth="1" min="8" max="8" width="26.0"/>
    <col customWidth="1" min="9" max="9" width="20.14"/>
    <col customWidth="1" min="10" max="10" width="16.86"/>
    <col customWidth="1" min="11" max="11" width="20.86"/>
    <col customWidth="1" min="12" max="12" width="15.71"/>
    <col customWidth="1" min="13" max="14" width="18.71"/>
    <col customWidth="1" min="15" max="15" width="11.57"/>
    <col customWidth="1" min="16" max="17" width="18.71"/>
    <col customWidth="1" min="18" max="18" width="11.57"/>
    <col customWidth="1" min="19" max="19" width="22.71"/>
    <col customWidth="1" min="20" max="20" width="23.0"/>
    <col customWidth="1" min="21" max="26" width="10.71"/>
  </cols>
  <sheetData>
    <row r="1" ht="40.5" customHeight="1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3"/>
      <c r="U1" s="4"/>
      <c r="V1" s="4"/>
      <c r="W1" s="4"/>
      <c r="X1" s="4"/>
      <c r="Y1" s="4"/>
      <c r="Z1" s="4"/>
    </row>
    <row r="2" ht="13.5" customHeight="1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ht="13.5" customHeight="1">
      <c r="A3" s="5" t="s">
        <v>1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ht="13.5" customHeight="1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ht="42.75" customHeight="1">
      <c r="A5" s="5" t="s">
        <v>2</v>
      </c>
      <c r="B5" s="7"/>
      <c r="C5" s="4"/>
      <c r="D5" s="5" t="s">
        <v>3</v>
      </c>
      <c r="E5" s="7"/>
      <c r="F5" s="4"/>
      <c r="G5" s="5" t="s">
        <v>4</v>
      </c>
      <c r="H5" s="7"/>
      <c r="I5" s="4"/>
      <c r="J5" s="5" t="s">
        <v>5</v>
      </c>
      <c r="K5" s="7"/>
      <c r="L5" s="4"/>
      <c r="M5" s="5" t="s">
        <v>6</v>
      </c>
      <c r="N5" s="7"/>
      <c r="O5" s="4"/>
      <c r="P5" s="5" t="s">
        <v>7</v>
      </c>
      <c r="Q5" s="7"/>
      <c r="R5" s="8">
        <v>3.0</v>
      </c>
      <c r="S5" s="5" t="s">
        <v>8</v>
      </c>
      <c r="T5" s="7"/>
      <c r="U5" s="4"/>
      <c r="V5" s="4"/>
      <c r="W5" s="4"/>
      <c r="X5" s="4"/>
      <c r="Y5" s="4"/>
      <c r="Z5" s="4"/>
    </row>
    <row r="6" ht="13.5" customHeight="1">
      <c r="A6" s="9" t="s">
        <v>9</v>
      </c>
      <c r="B6" s="9" t="s">
        <v>10</v>
      </c>
      <c r="C6" s="4"/>
      <c r="D6" s="9" t="s">
        <v>9</v>
      </c>
      <c r="E6" s="9" t="s">
        <v>10</v>
      </c>
      <c r="F6" s="4"/>
      <c r="G6" s="9" t="s">
        <v>9</v>
      </c>
      <c r="H6" s="9" t="s">
        <v>10</v>
      </c>
      <c r="I6" s="4"/>
      <c r="J6" s="9" t="s">
        <v>9</v>
      </c>
      <c r="K6" s="9" t="s">
        <v>10</v>
      </c>
      <c r="L6" s="4"/>
      <c r="M6" s="9" t="s">
        <v>9</v>
      </c>
      <c r="N6" s="9" t="s">
        <v>10</v>
      </c>
      <c r="O6" s="4"/>
      <c r="P6" s="9" t="s">
        <v>11</v>
      </c>
      <c r="Q6" s="9" t="s">
        <v>12</v>
      </c>
      <c r="R6" s="8">
        <v>4.0</v>
      </c>
      <c r="S6" s="9" t="s">
        <v>9</v>
      </c>
      <c r="T6" s="9" t="s">
        <v>10</v>
      </c>
      <c r="U6" s="4"/>
      <c r="V6" s="4"/>
      <c r="W6" s="4"/>
      <c r="X6" s="4"/>
      <c r="Y6" s="4"/>
      <c r="Z6" s="4"/>
    </row>
    <row r="7" ht="13.5" customHeight="1">
      <c r="A7" s="10">
        <v>40000.0</v>
      </c>
      <c r="B7" s="10">
        <v>45000.0</v>
      </c>
      <c r="C7" s="4"/>
      <c r="D7" s="10">
        <v>70000.0</v>
      </c>
      <c r="E7" s="10">
        <v>75000.0</v>
      </c>
      <c r="F7" s="4"/>
      <c r="G7" s="10">
        <v>125000.0</v>
      </c>
      <c r="H7" s="10">
        <v>135000.0</v>
      </c>
      <c r="I7" s="4"/>
      <c r="J7" s="10">
        <v>50000.0</v>
      </c>
      <c r="K7" s="10">
        <v>55000.0</v>
      </c>
      <c r="L7" s="4"/>
      <c r="M7" s="11">
        <v>3.0</v>
      </c>
      <c r="N7" s="11">
        <v>5.0</v>
      </c>
      <c r="O7" s="4"/>
      <c r="P7" s="12">
        <v>1.0</v>
      </c>
      <c r="Q7" s="11" t="s">
        <v>13</v>
      </c>
      <c r="R7" s="4"/>
      <c r="S7" s="13">
        <v>0.18</v>
      </c>
      <c r="T7" s="13">
        <v>0.22</v>
      </c>
      <c r="U7" s="4"/>
      <c r="V7" s="4"/>
      <c r="W7" s="4"/>
      <c r="X7" s="4"/>
      <c r="Y7" s="4"/>
      <c r="Z7" s="4"/>
    </row>
    <row r="8" ht="13.5" customHeight="1">
      <c r="A8" s="14"/>
      <c r="B8" s="14"/>
      <c r="C8" s="4"/>
      <c r="D8" s="14"/>
      <c r="E8" s="14"/>
      <c r="F8" s="4"/>
      <c r="G8" s="14"/>
      <c r="H8" s="14"/>
      <c r="I8" s="4"/>
      <c r="J8" s="14"/>
      <c r="K8" s="14"/>
      <c r="L8" s="4"/>
      <c r="M8" s="15"/>
      <c r="N8" s="15"/>
      <c r="O8" s="4"/>
      <c r="P8" s="16">
        <v>2.0</v>
      </c>
      <c r="Q8" s="17" t="s">
        <v>14</v>
      </c>
      <c r="R8" s="4"/>
      <c r="S8" s="4"/>
      <c r="T8" s="4"/>
      <c r="U8" s="4"/>
      <c r="V8" s="4"/>
      <c r="W8" s="4"/>
      <c r="X8" s="4"/>
      <c r="Y8" s="4"/>
      <c r="Z8" s="4"/>
    </row>
    <row r="9" ht="13.5" customHeight="1">
      <c r="A9" s="14"/>
      <c r="B9" s="14"/>
      <c r="C9" s="4"/>
      <c r="D9" s="14"/>
      <c r="E9" s="14"/>
      <c r="F9" s="4"/>
      <c r="G9" s="14"/>
      <c r="H9" s="14"/>
      <c r="I9" s="4"/>
      <c r="J9" s="14"/>
      <c r="K9" s="14"/>
      <c r="L9" s="4"/>
      <c r="M9" s="15"/>
      <c r="N9" s="15"/>
      <c r="O9" s="4"/>
      <c r="P9" s="16">
        <v>3.0</v>
      </c>
      <c r="Q9" s="17" t="s">
        <v>15</v>
      </c>
      <c r="R9" s="4"/>
      <c r="S9" s="4"/>
      <c r="T9" s="4"/>
      <c r="U9" s="4"/>
      <c r="V9" s="4"/>
      <c r="W9" s="4"/>
      <c r="X9" s="4"/>
      <c r="Y9" s="4"/>
      <c r="Z9" s="4"/>
    </row>
    <row r="10" ht="23.25" customHeight="1">
      <c r="A10" s="14"/>
      <c r="B10" s="14"/>
      <c r="C10" s="4"/>
      <c r="D10" s="14"/>
      <c r="E10" s="14"/>
      <c r="F10" s="4"/>
      <c r="G10" s="14"/>
      <c r="H10" s="14"/>
      <c r="I10" s="4"/>
      <c r="J10" s="14"/>
      <c r="K10" s="14"/>
      <c r="L10" s="4"/>
      <c r="M10" s="15"/>
      <c r="N10" s="15"/>
      <c r="O10" s="4"/>
      <c r="P10" s="16">
        <v>4.0</v>
      </c>
      <c r="Q10" s="17" t="s">
        <v>16</v>
      </c>
      <c r="R10" s="4"/>
      <c r="S10" s="4"/>
      <c r="T10" s="4"/>
      <c r="U10" s="4"/>
      <c r="V10" s="4"/>
      <c r="W10" s="4"/>
      <c r="X10" s="4"/>
      <c r="Y10" s="4"/>
      <c r="Z10" s="4"/>
    </row>
    <row r="11" ht="17.25" customHeight="1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ht="13.5" customHeight="1">
      <c r="A12" s="18" t="s">
        <v>17</v>
      </c>
      <c r="B12" s="6"/>
      <c r="C12" s="6"/>
      <c r="D12" s="7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ht="13.5" customHeight="1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ht="45.0" customHeight="1">
      <c r="A14" s="18" t="s">
        <v>18</v>
      </c>
      <c r="B14" s="7"/>
      <c r="C14" s="4"/>
      <c r="D14" s="18" t="s">
        <v>19</v>
      </c>
      <c r="E14" s="7"/>
      <c r="F14" s="19"/>
      <c r="G14" s="18" t="s">
        <v>20</v>
      </c>
      <c r="H14" s="6"/>
      <c r="I14" s="7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ht="13.5" customHeight="1">
      <c r="A15" s="20" t="s">
        <v>11</v>
      </c>
      <c r="B15" s="20" t="s">
        <v>21</v>
      </c>
      <c r="C15" s="4"/>
      <c r="D15" s="20" t="s">
        <v>11</v>
      </c>
      <c r="E15" s="20" t="s">
        <v>22</v>
      </c>
      <c r="F15" s="4"/>
      <c r="G15" s="20" t="s">
        <v>9</v>
      </c>
      <c r="H15" s="20" t="s">
        <v>23</v>
      </c>
      <c r="I15" s="20" t="s">
        <v>10</v>
      </c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ht="13.5" customHeight="1">
      <c r="A16" s="16">
        <v>1.0</v>
      </c>
      <c r="B16" s="13">
        <v>0.06</v>
      </c>
      <c r="C16" s="4"/>
      <c r="D16" s="16">
        <v>1.0</v>
      </c>
      <c r="E16" s="13">
        <v>0.08</v>
      </c>
      <c r="F16" s="4"/>
      <c r="G16" s="21">
        <v>0.048</v>
      </c>
      <c r="H16" s="21">
        <v>0.054</v>
      </c>
      <c r="I16" s="21">
        <v>0.096</v>
      </c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ht="13.5" customHeight="1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ht="13.5" customHeight="1">
      <c r="A18" s="22" t="s">
        <v>24</v>
      </c>
      <c r="B18" s="6"/>
      <c r="C18" s="6"/>
      <c r="D18" s="6"/>
      <c r="E18" s="7"/>
      <c r="F18" s="19"/>
      <c r="G18" s="19"/>
      <c r="H18" s="19"/>
      <c r="I18" s="19"/>
      <c r="J18" s="19"/>
      <c r="K18" s="19"/>
      <c r="L18" s="19"/>
      <c r="M18" s="19"/>
      <c r="N18" s="19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ht="13.5" customHeight="1">
      <c r="A19" s="4"/>
      <c r="B19" s="4"/>
      <c r="C19" s="4"/>
      <c r="D19" s="23"/>
      <c r="E19" s="4"/>
      <c r="F19" s="4"/>
      <c r="G19" s="14"/>
      <c r="H19" s="1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ht="44.25" customHeight="1">
      <c r="A20" s="22" t="s">
        <v>25</v>
      </c>
      <c r="B20" s="7"/>
      <c r="C20" s="4"/>
      <c r="D20" s="22" t="s">
        <v>26</v>
      </c>
      <c r="E20" s="7"/>
      <c r="F20" s="4"/>
      <c r="G20" s="22" t="s">
        <v>27</v>
      </c>
      <c r="H20" s="7"/>
      <c r="I20" s="19"/>
      <c r="J20" s="22" t="s">
        <v>28</v>
      </c>
      <c r="K20" s="6"/>
      <c r="L20" s="7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ht="13.5" customHeight="1">
      <c r="A21" s="24" t="s">
        <v>9</v>
      </c>
      <c r="B21" s="24" t="s">
        <v>10</v>
      </c>
      <c r="C21" s="4"/>
      <c r="D21" s="24" t="s">
        <v>11</v>
      </c>
      <c r="E21" s="24" t="s">
        <v>21</v>
      </c>
      <c r="F21" s="4"/>
      <c r="G21" s="24" t="s">
        <v>11</v>
      </c>
      <c r="H21" s="24" t="s">
        <v>22</v>
      </c>
      <c r="I21" s="4"/>
      <c r="J21" s="24" t="s">
        <v>9</v>
      </c>
      <c r="K21" s="24" t="s">
        <v>23</v>
      </c>
      <c r="L21" s="24" t="s">
        <v>10</v>
      </c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ht="13.5" customHeight="1">
      <c r="A22" s="10">
        <v>80500.0</v>
      </c>
      <c r="B22" s="10">
        <v>86250.0</v>
      </c>
      <c r="C22" s="4"/>
      <c r="D22" s="16">
        <v>1.0</v>
      </c>
      <c r="E22" s="13">
        <v>0.11</v>
      </c>
      <c r="F22" s="4"/>
      <c r="G22" s="16">
        <v>1.0</v>
      </c>
      <c r="H22" s="13">
        <v>0.13</v>
      </c>
      <c r="I22" s="4"/>
      <c r="J22" s="21">
        <v>0.088</v>
      </c>
      <c r="K22" s="21">
        <v>0.099</v>
      </c>
      <c r="L22" s="21">
        <v>0.156</v>
      </c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ht="13.5" customHeight="1">
      <c r="A23" s="14"/>
      <c r="B23" s="14"/>
      <c r="C23" s="4"/>
      <c r="D23" s="14"/>
      <c r="E23" s="1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ht="13.5" customHeight="1">
      <c r="A24" s="25" t="s">
        <v>29</v>
      </c>
      <c r="B24" s="6"/>
      <c r="C24" s="6"/>
      <c r="D24" s="7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ht="13.5" customHeight="1">
      <c r="A25" s="4"/>
      <c r="B25" s="4"/>
      <c r="C25" s="4"/>
      <c r="D25" s="23"/>
      <c r="E25" s="4"/>
      <c r="F25" s="4"/>
      <c r="G25" s="14"/>
      <c r="H25" s="1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ht="44.25" customHeight="1">
      <c r="A26" s="25" t="s">
        <v>30</v>
      </c>
      <c r="B26" s="7"/>
      <c r="C26" s="4"/>
      <c r="D26" s="25" t="s">
        <v>31</v>
      </c>
      <c r="E26" s="7"/>
      <c r="F26" s="4"/>
      <c r="G26" s="25" t="s">
        <v>32</v>
      </c>
      <c r="H26" s="7"/>
      <c r="I26" s="19"/>
      <c r="J26" s="25" t="s">
        <v>33</v>
      </c>
      <c r="K26" s="6"/>
      <c r="L26" s="7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ht="13.5" customHeight="1">
      <c r="A27" s="26" t="s">
        <v>9</v>
      </c>
      <c r="B27" s="26" t="s">
        <v>10</v>
      </c>
      <c r="C27" s="4"/>
      <c r="D27" s="26" t="s">
        <v>11</v>
      </c>
      <c r="E27" s="26" t="s">
        <v>21</v>
      </c>
      <c r="F27" s="4"/>
      <c r="G27" s="26" t="s">
        <v>11</v>
      </c>
      <c r="H27" s="26" t="s">
        <v>22</v>
      </c>
      <c r="I27" s="4"/>
      <c r="J27" s="27" t="s">
        <v>9</v>
      </c>
      <c r="K27" s="27" t="s">
        <v>23</v>
      </c>
      <c r="L27" s="27" t="s">
        <v>10</v>
      </c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ht="13.5" customHeight="1">
      <c r="A28" s="11">
        <v>280.0</v>
      </c>
      <c r="B28" s="11">
        <v>320.0</v>
      </c>
      <c r="C28" s="4"/>
      <c r="D28" s="16">
        <v>1.0</v>
      </c>
      <c r="E28" s="13">
        <v>0.07</v>
      </c>
      <c r="F28" s="4"/>
      <c r="G28" s="16">
        <v>1.0</v>
      </c>
      <c r="H28" s="13">
        <v>0.09</v>
      </c>
      <c r="I28" s="4"/>
      <c r="J28" s="21">
        <v>0.056</v>
      </c>
      <c r="K28" s="21">
        <v>0.063</v>
      </c>
      <c r="L28" s="21">
        <v>0.108</v>
      </c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ht="13.5" customHeight="1">
      <c r="A29" s="14"/>
      <c r="B29" s="14"/>
      <c r="C29" s="4"/>
      <c r="D29" s="14"/>
      <c r="E29" s="1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ht="13.5" customHeight="1">
      <c r="A30" s="28" t="s">
        <v>34</v>
      </c>
      <c r="B30" s="6"/>
      <c r="C30" s="6"/>
      <c r="D30" s="7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ht="13.5" customHeight="1">
      <c r="A31" s="4"/>
      <c r="B31" s="4"/>
      <c r="C31" s="4"/>
      <c r="D31" s="23"/>
      <c r="E31" s="4"/>
      <c r="F31" s="4"/>
      <c r="G31" s="14"/>
      <c r="H31" s="1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ht="44.25" customHeight="1">
      <c r="A32" s="28" t="s">
        <v>35</v>
      </c>
      <c r="B32" s="7"/>
      <c r="C32" s="4"/>
      <c r="D32" s="28" t="s">
        <v>36</v>
      </c>
      <c r="E32" s="7"/>
      <c r="F32" s="19"/>
      <c r="G32" s="28" t="s">
        <v>37</v>
      </c>
      <c r="H32" s="6"/>
      <c r="I32" s="7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ht="13.5" customHeight="1">
      <c r="A33" s="29" t="s">
        <v>11</v>
      </c>
      <c r="B33" s="29" t="s">
        <v>21</v>
      </c>
      <c r="C33" s="4"/>
      <c r="D33" s="29" t="s">
        <v>11</v>
      </c>
      <c r="E33" s="29" t="s">
        <v>22</v>
      </c>
      <c r="F33" s="4"/>
      <c r="G33" s="29" t="s">
        <v>9</v>
      </c>
      <c r="H33" s="29" t="s">
        <v>23</v>
      </c>
      <c r="I33" s="29" t="s">
        <v>10</v>
      </c>
      <c r="J33" s="1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ht="13.5" customHeight="1">
      <c r="A34" s="16">
        <v>1.0</v>
      </c>
      <c r="B34" s="13">
        <v>0.08</v>
      </c>
      <c r="C34" s="4"/>
      <c r="D34" s="16">
        <v>1.0</v>
      </c>
      <c r="E34" s="13">
        <v>0.1</v>
      </c>
      <c r="F34" s="4"/>
      <c r="G34" s="21">
        <v>0.064</v>
      </c>
      <c r="H34" s="21">
        <v>0.072</v>
      </c>
      <c r="I34" s="21">
        <v>0.12</v>
      </c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ht="13.5" customHeight="1">
      <c r="A35" s="14"/>
      <c r="B35" s="14"/>
      <c r="C35" s="4"/>
      <c r="D35" s="14"/>
      <c r="E35" s="1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ht="13.5" customHeight="1">
      <c r="A36" s="14"/>
      <c r="B36" s="14"/>
      <c r="C36" s="4"/>
      <c r="D36" s="14"/>
      <c r="E36" s="1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ht="13.5" customHeight="1">
      <c r="A37" s="14"/>
      <c r="B37" s="14"/>
      <c r="C37" s="4"/>
      <c r="D37" s="14"/>
      <c r="E37" s="1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ht="13.5" customHeight="1">
      <c r="A38" s="14"/>
      <c r="B38" s="14"/>
      <c r="C38" s="4"/>
      <c r="D38" s="14"/>
      <c r="E38" s="1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ht="13.5" customHeight="1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ht="13.5" customHeight="1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ht="13.5" customHeight="1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ht="13.5" customHeight="1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ht="13.5" customHeight="1">
      <c r="A43" s="30" t="s">
        <v>38</v>
      </c>
      <c r="B43" s="6"/>
      <c r="C43" s="6"/>
      <c r="D43" s="6"/>
      <c r="E43" s="6"/>
      <c r="F43" s="6"/>
      <c r="G43" s="6"/>
      <c r="H43" s="6"/>
      <c r="I43" s="6"/>
      <c r="J43" s="7"/>
      <c r="K43" s="31"/>
      <c r="L43" s="31"/>
      <c r="M43" s="31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ht="13.5" customHeight="1">
      <c r="A44" s="32"/>
      <c r="B44" s="33"/>
      <c r="C44" s="33"/>
      <c r="D44" s="33"/>
      <c r="E44" s="33"/>
      <c r="F44" s="33"/>
      <c r="G44" s="33"/>
      <c r="H44" s="33"/>
      <c r="I44" s="33"/>
      <c r="J44" s="34"/>
      <c r="K44" s="33"/>
      <c r="L44" s="33"/>
      <c r="M44" s="33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ht="13.5" customHeight="1">
      <c r="A45" s="35" t="s">
        <v>39</v>
      </c>
      <c r="B45" s="6"/>
      <c r="C45" s="6"/>
      <c r="D45" s="6"/>
      <c r="E45" s="6"/>
      <c r="F45" s="6"/>
      <c r="G45" s="6"/>
      <c r="H45" s="6"/>
      <c r="I45" s="6"/>
      <c r="J45" s="7"/>
      <c r="K45" s="31"/>
      <c r="L45" s="31"/>
      <c r="M45" s="33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ht="72.0" customHeight="1">
      <c r="A46" s="16" t="s">
        <v>40</v>
      </c>
      <c r="B46" s="16" t="s">
        <v>41</v>
      </c>
      <c r="C46" s="16" t="s">
        <v>42</v>
      </c>
      <c r="D46" s="16" t="s">
        <v>43</v>
      </c>
      <c r="E46" s="16" t="s">
        <v>44</v>
      </c>
      <c r="F46" s="16" t="s">
        <v>45</v>
      </c>
      <c r="G46" s="16" t="s">
        <v>46</v>
      </c>
      <c r="H46" s="16" t="s">
        <v>47</v>
      </c>
      <c r="I46" s="16" t="s">
        <v>48</v>
      </c>
      <c r="J46" s="16" t="s">
        <v>49</v>
      </c>
      <c r="K46" s="36"/>
      <c r="L46" s="36"/>
      <c r="M46" s="36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ht="33.0" customHeight="1">
      <c r="A47" s="37">
        <v>43528.0</v>
      </c>
      <c r="B47" s="37">
        <v>72667.0</v>
      </c>
      <c r="C47" s="37">
        <v>130795.0</v>
      </c>
      <c r="D47" s="37">
        <v>51447.0</v>
      </c>
      <c r="E47" s="38">
        <v>3.0</v>
      </c>
      <c r="F47" s="39" t="str">
        <f>IFERROR(VLOOKUP($R$5,$P$7:$Q$10,2,FALSE),"")</f>
        <v>Industria manufacturera</v>
      </c>
      <c r="G47" s="39" t="str">
        <f>IFERROR(VLOOKUP($R$6,$P$7:$Q$10,2,FALSE),"")</f>
        <v>Industria financiera</v>
      </c>
      <c r="H47" s="37">
        <f>IFERROR(ROUNDUP((IF($R$5=1,$A$47,IF($R$5=2,$B$47,IF($R$5=3,$C$47,IF($R$5=4,$D$47,0))))+IF($R$6=1,$A$47,IF($R$6=2,$B$47,IF($R$6=3,$C$47,IF($R$6=4,$D$47,0)))))*1.005,0),"")</f>
        <v>183154</v>
      </c>
      <c r="I47" s="40">
        <v>0.21</v>
      </c>
      <c r="J47" s="37">
        <f>IFERROR(ROUNDDOWN((VLOOKUP($F$47,$J$76:$L$79,3,FALSE)+VLOOKUP($G$47,$J$76:$L$79,3,FALSE))*(1-$I$47),0),"")</f>
        <v>5485</v>
      </c>
      <c r="K47" s="41"/>
      <c r="L47" s="41"/>
      <c r="M47" s="42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ht="13.5" customHeight="1">
      <c r="A48" s="43"/>
      <c r="B48" s="44"/>
      <c r="C48" s="41"/>
      <c r="D48" s="41"/>
      <c r="E48" s="41"/>
      <c r="F48" s="41"/>
      <c r="G48" s="41"/>
      <c r="H48" s="41"/>
      <c r="I48" s="44"/>
      <c r="J48" s="45"/>
      <c r="K48" s="41"/>
      <c r="L48" s="41"/>
      <c r="M48" s="41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ht="13.5" customHeight="1">
      <c r="A49" s="46" t="s">
        <v>50</v>
      </c>
      <c r="B49" s="6"/>
      <c r="C49" s="6"/>
      <c r="D49" s="6"/>
      <c r="E49" s="6"/>
      <c r="F49" s="6"/>
      <c r="G49" s="7"/>
      <c r="H49" s="31"/>
      <c r="I49" s="31"/>
      <c r="J49" s="47"/>
      <c r="K49" s="31"/>
      <c r="L49" s="31"/>
      <c r="M49" s="33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ht="73.5" customHeight="1">
      <c r="A50" s="16" t="s">
        <v>51</v>
      </c>
      <c r="B50" s="16" t="s">
        <v>52</v>
      </c>
      <c r="C50" s="16" t="s">
        <v>53</v>
      </c>
      <c r="D50" s="16" t="s">
        <v>54</v>
      </c>
      <c r="E50" s="48" t="s">
        <v>55</v>
      </c>
      <c r="F50" s="48" t="s">
        <v>56</v>
      </c>
      <c r="G50" s="16" t="s">
        <v>57</v>
      </c>
      <c r="H50" s="36"/>
      <c r="I50" s="36"/>
      <c r="J50" s="49"/>
      <c r="K50" s="36"/>
      <c r="L50" s="36"/>
      <c r="M50" s="36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ht="33.0" customHeight="1">
      <c r="A51" s="37">
        <f>IFERROR(ROUNDUP($D$51*3*0.75,0),"")</f>
        <v>37382</v>
      </c>
      <c r="B51" s="37">
        <f>IFERROR($D$51*3-$A$51,"")</f>
        <v>12460</v>
      </c>
      <c r="C51" s="37">
        <f>IFERROR($D$51*4,"")</f>
        <v>66456</v>
      </c>
      <c r="D51" s="37">
        <f>IFERROR(ROUNDUP($A$47/IF($E$47=3,2.62,IF($E$47=4,3.39,IF($E$47=5,4.1,""))),0),"")</f>
        <v>16614</v>
      </c>
      <c r="E51" s="40">
        <f>$B$16</f>
        <v>0.06</v>
      </c>
      <c r="F51" s="40">
        <f>$E$16</f>
        <v>0.08</v>
      </c>
      <c r="G51" s="50">
        <v>0.049</v>
      </c>
      <c r="H51" s="41"/>
      <c r="I51" s="41"/>
      <c r="J51" s="51"/>
      <c r="K51" s="41"/>
      <c r="L51" s="41"/>
      <c r="M51" s="41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ht="13.5" customHeight="1">
      <c r="A52" s="43"/>
      <c r="B52" s="44"/>
      <c r="C52" s="41"/>
      <c r="D52" s="41"/>
      <c r="E52" s="41"/>
      <c r="F52" s="41"/>
      <c r="G52" s="41"/>
      <c r="H52" s="41"/>
      <c r="I52" s="44"/>
      <c r="J52" s="45"/>
      <c r="K52" s="41"/>
      <c r="L52" s="41"/>
      <c r="M52" s="41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ht="13.5" customHeight="1">
      <c r="A53" s="52" t="s">
        <v>58</v>
      </c>
      <c r="B53" s="6"/>
      <c r="C53" s="6"/>
      <c r="D53" s="6"/>
      <c r="E53" s="6"/>
      <c r="F53" s="6"/>
      <c r="G53" s="6"/>
      <c r="H53" s="7"/>
      <c r="I53" s="31"/>
      <c r="J53" s="47"/>
      <c r="K53" s="31"/>
      <c r="L53" s="31"/>
      <c r="M53" s="33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ht="73.5" customHeight="1">
      <c r="A54" s="16" t="s">
        <v>59</v>
      </c>
      <c r="B54" s="16" t="s">
        <v>60</v>
      </c>
      <c r="C54" s="16" t="s">
        <v>61</v>
      </c>
      <c r="D54" s="16" t="s">
        <v>62</v>
      </c>
      <c r="E54" s="16" t="s">
        <v>63</v>
      </c>
      <c r="F54" s="48" t="s">
        <v>55</v>
      </c>
      <c r="G54" s="48" t="s">
        <v>56</v>
      </c>
      <c r="H54" s="16" t="s">
        <v>64</v>
      </c>
      <c r="I54" s="36"/>
      <c r="J54" s="49"/>
      <c r="K54" s="36"/>
      <c r="L54" s="36"/>
      <c r="M54" s="36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ht="33.0" customHeight="1">
      <c r="A55" s="37">
        <f>IFERROR(ROUNDUP(($E$55/6.7)*0.33,0),"")</f>
        <v>281</v>
      </c>
      <c r="B55" s="37">
        <f>IFERROR(ROUNDUP(($E$55/6.7)-$A$55,0),"")</f>
        <v>570</v>
      </c>
      <c r="C55" s="37">
        <f>IFERROR($E$55+$A$55+$B$55,"")</f>
        <v>6549</v>
      </c>
      <c r="D55" s="37">
        <v>82880.0</v>
      </c>
      <c r="E55" s="37">
        <f>IFERROR(ROUNDUP(($B$47-($D$55/(1.12^$E$47)))/IF($E$47=3,2.4,IF($E$47=4,3.04,IF($E$47=5,3.6,""))),0),"")</f>
        <v>5698</v>
      </c>
      <c r="F55" s="40">
        <f>$E$22</f>
        <v>0.11</v>
      </c>
      <c r="G55" s="40">
        <f>$H$22</f>
        <v>0.13</v>
      </c>
      <c r="H55" s="50">
        <v>0.14700000000000002</v>
      </c>
      <c r="I55" s="41"/>
      <c r="J55" s="51"/>
      <c r="K55" s="41"/>
      <c r="L55" s="41"/>
      <c r="M55" s="41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ht="13.5" customHeight="1">
      <c r="A56" s="43"/>
      <c r="B56" s="44"/>
      <c r="C56" s="41"/>
      <c r="D56" s="41"/>
      <c r="E56" s="41"/>
      <c r="F56" s="41"/>
      <c r="G56" s="41"/>
      <c r="H56" s="41"/>
      <c r="I56" s="44"/>
      <c r="J56" s="45"/>
      <c r="K56" s="41"/>
      <c r="L56" s="41"/>
      <c r="M56" s="41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ht="13.5" customHeight="1">
      <c r="A57" s="53" t="s">
        <v>65</v>
      </c>
      <c r="B57" s="6"/>
      <c r="C57" s="6"/>
      <c r="D57" s="6"/>
      <c r="E57" s="6"/>
      <c r="F57" s="6"/>
      <c r="G57" s="6"/>
      <c r="H57" s="6"/>
      <c r="I57" s="7"/>
      <c r="J57" s="47"/>
      <c r="K57" s="31"/>
      <c r="L57" s="31"/>
      <c r="M57" s="33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ht="96.75" customHeight="1">
      <c r="A58" s="16" t="s">
        <v>66</v>
      </c>
      <c r="B58" s="16" t="s">
        <v>67</v>
      </c>
      <c r="C58" s="16" t="s">
        <v>68</v>
      </c>
      <c r="D58" s="16" t="s">
        <v>69</v>
      </c>
      <c r="E58" s="16" t="s">
        <v>70</v>
      </c>
      <c r="F58" s="16" t="s">
        <v>71</v>
      </c>
      <c r="G58" s="48" t="s">
        <v>55</v>
      </c>
      <c r="H58" s="48" t="s">
        <v>56</v>
      </c>
      <c r="I58" s="16" t="s">
        <v>72</v>
      </c>
      <c r="J58" s="49"/>
      <c r="K58" s="36"/>
      <c r="L58" s="36"/>
      <c r="M58" s="36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ht="33.0" customHeight="1">
      <c r="A59" s="38">
        <v>312.0</v>
      </c>
      <c r="B59" s="37">
        <f>IFERROR(ROUNDUP(($F$59/($A$59*0.4))*0.8,0),"")</f>
        <v>325</v>
      </c>
      <c r="C59" s="37">
        <f>IFERROR(ROUNDUP(($F$59/0.4)*0.2*0.6,0),"")</f>
        <v>15209</v>
      </c>
      <c r="D59" s="37">
        <f>IFERROR(ROUNDUP(($F$59/0.4)*0.2,0)-$C$59,"")</f>
        <v>10139</v>
      </c>
      <c r="E59" s="54">
        <f>IFERROR(($F$59+$A$59*$B$59+$C$59+$D$59)/$A$59,"")</f>
        <v>568.7307692</v>
      </c>
      <c r="F59" s="37">
        <f>IFERROR(ROUNDUP($C$47/IF($E$47=3,2.58,IF($E$47=4,3.31,IF($E$47=5,3.99,""))),0),"")</f>
        <v>50696</v>
      </c>
      <c r="G59" s="40">
        <f>$E$28</f>
        <v>0.07</v>
      </c>
      <c r="H59" s="40">
        <f>$H$28</f>
        <v>0.09</v>
      </c>
      <c r="I59" s="50">
        <v>0.05800000000000001</v>
      </c>
      <c r="J59" s="45"/>
      <c r="K59" s="41"/>
      <c r="L59" s="41"/>
      <c r="M59" s="41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ht="13.5" customHeight="1">
      <c r="A60" s="55"/>
      <c r="B60" s="4"/>
      <c r="C60" s="4"/>
      <c r="D60" s="4"/>
      <c r="E60" s="4"/>
      <c r="F60" s="4"/>
      <c r="G60" s="4"/>
      <c r="H60" s="56"/>
      <c r="I60" s="56"/>
      <c r="J60" s="57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ht="30.0" customHeight="1">
      <c r="A61" s="58" t="s">
        <v>73</v>
      </c>
      <c r="B61" s="6"/>
      <c r="C61" s="6"/>
      <c r="D61" s="7"/>
      <c r="E61" s="59"/>
      <c r="F61" s="31"/>
      <c r="G61" s="31"/>
      <c r="H61" s="60"/>
      <c r="I61" s="31"/>
      <c r="J61" s="47"/>
      <c r="K61" s="31"/>
      <c r="L61" s="31"/>
      <c r="M61" s="33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ht="73.5" customHeight="1">
      <c r="A62" s="16" t="s">
        <v>74</v>
      </c>
      <c r="B62" s="48" t="s">
        <v>55</v>
      </c>
      <c r="C62" s="48" t="s">
        <v>56</v>
      </c>
      <c r="D62" s="16" t="s">
        <v>57</v>
      </c>
      <c r="E62" s="36"/>
      <c r="F62" s="36"/>
      <c r="G62" s="36"/>
      <c r="H62" s="61"/>
      <c r="I62" s="62"/>
      <c r="J62" s="63"/>
      <c r="K62" s="36"/>
      <c r="L62" s="36"/>
      <c r="M62" s="36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ht="33.0" customHeight="1">
      <c r="A63" s="37">
        <f>IFERROR(ROUNDUP($D$47/IF($E$47=3,2.53,IF($E$47=4,3.24,IF($E$47=5,3.89,""))),0),"")</f>
        <v>20335</v>
      </c>
      <c r="B63" s="40">
        <f>$B$34</f>
        <v>0.08</v>
      </c>
      <c r="C63" s="40">
        <f>$E$34</f>
        <v>0.1</v>
      </c>
      <c r="D63" s="50">
        <v>0.07200000000000001</v>
      </c>
      <c r="E63" s="64"/>
      <c r="F63" s="64"/>
      <c r="G63" s="64"/>
      <c r="H63" s="64"/>
      <c r="I63" s="65"/>
      <c r="J63" s="66"/>
      <c r="K63" s="41"/>
      <c r="L63" s="41"/>
      <c r="M63" s="41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ht="13.5" customHeight="1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ht="13.5" customHeight="1">
      <c r="A65" s="67" t="s">
        <v>75</v>
      </c>
      <c r="B65" s="68"/>
      <c r="C65" s="68"/>
      <c r="D65" s="68"/>
      <c r="E65" s="68"/>
      <c r="F65" s="68"/>
      <c r="G65" s="68"/>
      <c r="H65" s="69"/>
      <c r="I65" s="70"/>
      <c r="J65" s="70"/>
      <c r="K65" s="69"/>
      <c r="L65" s="69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ht="13.5" customHeight="1">
      <c r="A66" s="71" t="s">
        <v>12</v>
      </c>
      <c r="B66" s="72" t="s">
        <v>76</v>
      </c>
      <c r="C66" s="6"/>
      <c r="D66" s="6"/>
      <c r="E66" s="6"/>
      <c r="F66" s="6"/>
      <c r="G66" s="7"/>
      <c r="H66" s="69"/>
      <c r="I66" s="69"/>
      <c r="J66" s="73"/>
      <c r="K66" s="69"/>
      <c r="L66" s="69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ht="13.5" customHeight="1">
      <c r="A67" s="74"/>
      <c r="B67" s="75" t="s">
        <v>77</v>
      </c>
      <c r="C67" s="75" t="s">
        <v>78</v>
      </c>
      <c r="D67" s="75" t="s">
        <v>79</v>
      </c>
      <c r="E67" s="75" t="s">
        <v>80</v>
      </c>
      <c r="F67" s="75" t="s">
        <v>81</v>
      </c>
      <c r="G67" s="75" t="s">
        <v>82</v>
      </c>
      <c r="H67" s="69"/>
      <c r="I67" s="69"/>
      <c r="J67" s="73"/>
      <c r="K67" s="69"/>
      <c r="L67" s="69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ht="13.5" customHeight="1">
      <c r="A68" s="76" t="s">
        <v>13</v>
      </c>
      <c r="B68" s="77">
        <f>IFERROR(-$A$47,"")</f>
        <v>-43528</v>
      </c>
      <c r="C68" s="77">
        <f t="shared" ref="C68:D68" si="1">IFERROR($C$51-$A$51-$B$51,"")</f>
        <v>16614</v>
      </c>
      <c r="D68" s="77">
        <f t="shared" si="1"/>
        <v>16614</v>
      </c>
      <c r="E68" s="77">
        <f>IFERROR(IF($E$47&gt;=3,$C$51-$A$51-$B$51,0),"")</f>
        <v>16614</v>
      </c>
      <c r="F68" s="77">
        <f>IFERROR(IF($E$47&gt;=4,$C$51-$A$51-$B$51,0),"")</f>
        <v>0</v>
      </c>
      <c r="G68" s="77">
        <f>IFERROR(IF($E$47&gt;=5,$C$51-$A$51-$B$51,0),"")</f>
        <v>0</v>
      </c>
      <c r="H68" s="69"/>
      <c r="I68" s="69"/>
      <c r="J68" s="69"/>
      <c r="K68" s="69"/>
      <c r="L68" s="69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ht="13.5" customHeight="1">
      <c r="A69" s="76" t="s">
        <v>14</v>
      </c>
      <c r="B69" s="77">
        <f>IFERROR(-$B$47,"")</f>
        <v>-72667</v>
      </c>
      <c r="C69" s="77">
        <f t="shared" ref="C69:D69" si="2">IFERROR($C$55-$A$55-$B$55,"")</f>
        <v>5698</v>
      </c>
      <c r="D69" s="77">
        <f t="shared" si="2"/>
        <v>5698</v>
      </c>
      <c r="E69" s="77">
        <f>IFERROR(IF($E$47&gt;=3,IF($E$47=3,$C$55+$D$55-$A$55-$B$55,$C$55-$A$55-$B$55),0),"")</f>
        <v>88578</v>
      </c>
      <c r="F69" s="77">
        <f>IFERROR(IF($E$47&gt;=4,IF($E$47=4,$C$55+$D$55-$A$55-$B$55,$C$55-$A$55-$B$55),0),"")</f>
        <v>0</v>
      </c>
      <c r="G69" s="77">
        <f>IFERROR(IF($E$47&gt;=5,IF($E$47=5,$C$55+$D$55-$A$55-$B$55,$C$55-$A$55-$B$55),0),"")</f>
        <v>0</v>
      </c>
      <c r="H69" s="69"/>
      <c r="I69" s="69"/>
      <c r="J69" s="69"/>
      <c r="K69" s="69"/>
      <c r="L69" s="69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ht="13.5" customHeight="1">
      <c r="A70" s="76" t="s">
        <v>15</v>
      </c>
      <c r="B70" s="77">
        <f>IFERROR(-$C$47,"")</f>
        <v>-130795</v>
      </c>
      <c r="C70" s="77">
        <f t="shared" ref="C70:D70" si="3">IFERROR($E$59*$A$59-$B$59*$A$59-$C$59-$D$59,"")</f>
        <v>50696</v>
      </c>
      <c r="D70" s="77">
        <f t="shared" si="3"/>
        <v>50696</v>
      </c>
      <c r="E70" s="77">
        <f>IFERROR(IF($E$47&gt;=3,$E$59*$A$59-$B$59*$A$59-$C$59-$D$59,0),"")</f>
        <v>50696</v>
      </c>
      <c r="F70" s="77">
        <f>IFERROR(IF($E$47&gt;=4,$E$59*$A$59-$B$59*$A$59-$C$59-$D$59,0),"")</f>
        <v>0</v>
      </c>
      <c r="G70" s="77">
        <f>IFERROR(IF($E$47&gt;=5,$E$59*$A$59-$B$59*$A$59-$C$59-$D$59,0),"")</f>
        <v>0</v>
      </c>
      <c r="H70" s="69"/>
      <c r="I70" s="69"/>
      <c r="J70" s="69"/>
      <c r="K70" s="69"/>
      <c r="L70" s="69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ht="13.5" customHeight="1">
      <c r="A71" s="76" t="s">
        <v>16</v>
      </c>
      <c r="B71" s="77">
        <f>IFERROR(-$D$47,"")</f>
        <v>-51447</v>
      </c>
      <c r="C71" s="77">
        <f t="shared" ref="C71:D71" si="4">IFERROR($A$63,"")</f>
        <v>20335</v>
      </c>
      <c r="D71" s="77">
        <f t="shared" si="4"/>
        <v>20335</v>
      </c>
      <c r="E71" s="77">
        <f>IFERROR(IF($E$47&gt;=3,$A$63,0),"")</f>
        <v>20335</v>
      </c>
      <c r="F71" s="77">
        <f>IFERROR(IF($E$47&gt;=4,$A$63,0),"")</f>
        <v>0</v>
      </c>
      <c r="G71" s="77">
        <f>IFERROR(IF($E$47&gt;=5,$A$63,0),"")</f>
        <v>0</v>
      </c>
      <c r="H71" s="69"/>
      <c r="I71" s="69"/>
      <c r="J71" s="69"/>
      <c r="K71" s="69"/>
      <c r="L71" s="69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ht="13.5" customHeight="1">
      <c r="A72" s="69"/>
      <c r="B72" s="69"/>
      <c r="C72" s="69"/>
      <c r="D72" s="69"/>
      <c r="E72" s="69"/>
      <c r="F72" s="69"/>
      <c r="G72" s="69"/>
      <c r="H72" s="69"/>
      <c r="I72" s="69"/>
      <c r="J72" s="69"/>
      <c r="K72" s="69"/>
      <c r="L72" s="69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ht="13.5" customHeight="1">
      <c r="A73" s="67" t="s">
        <v>75</v>
      </c>
      <c r="B73" s="68"/>
      <c r="C73" s="68"/>
      <c r="D73" s="68"/>
      <c r="E73" s="68"/>
      <c r="F73" s="70"/>
      <c r="G73" s="67" t="s">
        <v>75</v>
      </c>
      <c r="H73" s="68"/>
      <c r="I73" s="70"/>
      <c r="J73" s="67" t="s">
        <v>75</v>
      </c>
      <c r="K73" s="68"/>
      <c r="L73" s="68"/>
      <c r="M73" s="19"/>
      <c r="N73" s="19"/>
      <c r="O73" s="4"/>
      <c r="P73" s="19"/>
      <c r="Q73" s="19"/>
      <c r="R73" s="19"/>
      <c r="S73" s="19"/>
      <c r="T73" s="4"/>
      <c r="U73" s="4"/>
      <c r="V73" s="4"/>
      <c r="W73" s="4"/>
      <c r="X73" s="4"/>
      <c r="Y73" s="4"/>
      <c r="Z73" s="4"/>
    </row>
    <row r="74" ht="14.25" customHeight="1">
      <c r="A74" s="72" t="s">
        <v>83</v>
      </c>
      <c r="B74" s="6"/>
      <c r="C74" s="6"/>
      <c r="D74" s="6"/>
      <c r="E74" s="7"/>
      <c r="F74" s="70"/>
      <c r="G74" s="72" t="s">
        <v>84</v>
      </c>
      <c r="H74" s="7"/>
      <c r="I74" s="70"/>
      <c r="J74" s="72" t="s">
        <v>85</v>
      </c>
      <c r="K74" s="6"/>
      <c r="L74" s="7"/>
      <c r="M74" s="36"/>
      <c r="N74" s="36"/>
      <c r="O74" s="4"/>
      <c r="P74" s="36"/>
      <c r="Q74" s="36"/>
      <c r="R74" s="36"/>
      <c r="S74" s="36"/>
      <c r="T74" s="4"/>
      <c r="U74" s="4"/>
      <c r="V74" s="4"/>
      <c r="W74" s="4"/>
      <c r="X74" s="4"/>
      <c r="Y74" s="4"/>
      <c r="Z74" s="4"/>
    </row>
    <row r="75" ht="30.75" customHeight="1">
      <c r="A75" s="71" t="s">
        <v>86</v>
      </c>
      <c r="B75" s="72" t="s">
        <v>87</v>
      </c>
      <c r="C75" s="6"/>
      <c r="D75" s="6"/>
      <c r="E75" s="7"/>
      <c r="F75" s="70"/>
      <c r="G75" s="75" t="s">
        <v>88</v>
      </c>
      <c r="H75" s="75" t="s">
        <v>89</v>
      </c>
      <c r="I75" s="70"/>
      <c r="J75" s="75" t="s">
        <v>88</v>
      </c>
      <c r="K75" s="75" t="s">
        <v>90</v>
      </c>
      <c r="L75" s="75" t="s">
        <v>91</v>
      </c>
      <c r="M75" s="19"/>
      <c r="N75" s="19"/>
      <c r="O75" s="4"/>
      <c r="P75" s="19"/>
      <c r="Q75" s="19"/>
      <c r="R75" s="19"/>
      <c r="S75" s="19"/>
      <c r="T75" s="4"/>
      <c r="U75" s="4"/>
      <c r="V75" s="4"/>
      <c r="W75" s="4"/>
      <c r="X75" s="4"/>
      <c r="Y75" s="4"/>
      <c r="Z75" s="4"/>
    </row>
    <row r="76" ht="13.5" customHeight="1">
      <c r="A76" s="74"/>
      <c r="B76" s="75" t="s">
        <v>13</v>
      </c>
      <c r="C76" s="75" t="s">
        <v>14</v>
      </c>
      <c r="D76" s="75" t="s">
        <v>15</v>
      </c>
      <c r="E76" s="75" t="s">
        <v>16</v>
      </c>
      <c r="F76" s="78"/>
      <c r="G76" s="76" t="s">
        <v>92</v>
      </c>
      <c r="H76" s="79">
        <f>IFERROR(ROUNDUP($F$51-$B$80*($F$51-$E$51)/($B$80-$B$78),4),"")</f>
        <v>0.0711</v>
      </c>
      <c r="I76" s="78"/>
      <c r="J76" s="76" t="s">
        <v>13</v>
      </c>
      <c r="K76" s="79">
        <f>IFERROR($G$51,"")</f>
        <v>0.049</v>
      </c>
      <c r="L76" s="77">
        <f>IFERROR($B$68+$C$68/(1+K76)+$D$68/((1+K76)^2)+$E$68/((1+K76)^3)+$F$68/((1+K76)^4)+$G$68/((1+K76)^5),"")</f>
        <v>1800.954532</v>
      </c>
      <c r="M76" s="36"/>
      <c r="N76" s="36"/>
      <c r="O76" s="4"/>
      <c r="P76" s="36"/>
      <c r="Q76" s="36"/>
      <c r="R76" s="36"/>
      <c r="S76" s="36"/>
      <c r="T76" s="4"/>
      <c r="U76" s="4"/>
      <c r="V76" s="4"/>
      <c r="W76" s="4"/>
      <c r="X76" s="4"/>
      <c r="Y76" s="4"/>
      <c r="Z76" s="4"/>
    </row>
    <row r="77" ht="13.5" customHeight="1">
      <c r="A77" s="80">
        <v>0.05</v>
      </c>
      <c r="B77" s="77">
        <f t="shared" ref="B77:B87" si="5">IFERROR($B$68+$C$68/(1+A77)+$D$68/((1+A77)^2)+$E$68/((1+A77)^3)+$F$68/((1+A77)^4)+$G$68/((1+A77)^5),"")</f>
        <v>1716.04276</v>
      </c>
      <c r="C77" s="77">
        <f t="shared" ref="C77:C87" si="6">IFERROR($B$69+$C$69/(1+A77)+$D$69/((1+A77)^2)+$E$69/((1+A77)^3)+$F$69/((1+A77)^4)+$G$69/((1+A77)^5),"")</f>
        <v>14444.92744</v>
      </c>
      <c r="D77" s="77">
        <f t="shared" ref="D77:D87" si="7">IFERROR($B$70+$C$70/(1+A77)+$D$70/((1+A77)^2)+$E$70/((1+A77)^3)+$F$70/((1+A77)^4)+$G$70/((1+A77)^5),"")</f>
        <v>7262.782097</v>
      </c>
      <c r="E77" s="77">
        <f t="shared" ref="E77:E87" si="8">IFERROR($B$71+$C$71/(1+A77)+$D$71/((1+A77)^2)+$E$71/((1+A77)^3)+$F$71/((1+A77)^4)+$G$71/((1+A77)^5),"")</f>
        <v>3930.248677</v>
      </c>
      <c r="F77" s="69"/>
      <c r="G77" s="76" t="s">
        <v>93</v>
      </c>
      <c r="H77" s="79">
        <f>IFERROR(ROUNDUP($G$55-$C$85*($G$55-$F$55)/($C$85-$C$83),4),"")</f>
        <v>0.1203</v>
      </c>
      <c r="I77" s="73"/>
      <c r="J77" s="76" t="s">
        <v>14</v>
      </c>
      <c r="K77" s="79">
        <f>IFERROR($H$55,"")</f>
        <v>0.147</v>
      </c>
      <c r="L77" s="77">
        <f>IFERROR($B$69+$C$69/(1+K77)+$D$69/((1+K77)^2)+$E$69/((1+K77)^3)+$F$69/((1+K77)^4)+$G$69/((1+K77)^5),"")</f>
        <v>-4668.519865</v>
      </c>
      <c r="M77" s="81"/>
      <c r="N77" s="56"/>
      <c r="O77" s="4"/>
      <c r="P77" s="4"/>
      <c r="Q77" s="4"/>
      <c r="R77" s="81"/>
      <c r="S77" s="56"/>
      <c r="T77" s="4"/>
      <c r="U77" s="4"/>
      <c r="V77" s="4"/>
      <c r="W77" s="4"/>
      <c r="X77" s="4"/>
      <c r="Y77" s="4"/>
      <c r="Z77" s="4"/>
    </row>
    <row r="78" ht="13.5" customHeight="1">
      <c r="A78" s="80">
        <v>0.06</v>
      </c>
      <c r="B78" s="77">
        <f t="shared" si="5"/>
        <v>881.4205284</v>
      </c>
      <c r="C78" s="77">
        <f t="shared" si="6"/>
        <v>12151.46827</v>
      </c>
      <c r="D78" s="77">
        <f t="shared" si="7"/>
        <v>4716.01379</v>
      </c>
      <c r="E78" s="77">
        <f t="shared" si="8"/>
        <v>2908.697992</v>
      </c>
      <c r="F78" s="69"/>
      <c r="G78" s="76" t="s">
        <v>94</v>
      </c>
      <c r="H78" s="79">
        <f>IFERROR(ROUNDUP($H$59-$D$81*($H$59-$G$59)/($D$81-$D$79),4),"")</f>
        <v>0.0796</v>
      </c>
      <c r="I78" s="73"/>
      <c r="J78" s="76" t="s">
        <v>15</v>
      </c>
      <c r="K78" s="79">
        <f>IFERROR($I$59,"")</f>
        <v>0.058</v>
      </c>
      <c r="L78" s="77">
        <f>IFERROR($B$70+$C$70/(1+K78)+$D$70/((1+K78)^2)+$E$70/((1+K78)^3)+$F$70/((1+K78)^4)+$G$70/((1+K78)^5),"")</f>
        <v>5219.015277</v>
      </c>
      <c r="M78" s="81"/>
      <c r="N78" s="56"/>
      <c r="O78" s="4"/>
      <c r="P78" s="4"/>
      <c r="Q78" s="4"/>
      <c r="R78" s="81"/>
      <c r="S78" s="56"/>
      <c r="T78" s="4"/>
      <c r="U78" s="4"/>
      <c r="V78" s="4"/>
      <c r="W78" s="4"/>
      <c r="X78" s="4"/>
      <c r="Y78" s="4"/>
      <c r="Z78" s="4"/>
    </row>
    <row r="79" ht="13.5" customHeight="1">
      <c r="A79" s="80">
        <v>0.07</v>
      </c>
      <c r="B79" s="77">
        <f t="shared" si="5"/>
        <v>72.38676193</v>
      </c>
      <c r="C79" s="77">
        <f t="shared" si="6"/>
        <v>9941.120858</v>
      </c>
      <c r="D79" s="77">
        <f t="shared" si="7"/>
        <v>2247.326188</v>
      </c>
      <c r="E79" s="77">
        <f t="shared" si="8"/>
        <v>1918.466763</v>
      </c>
      <c r="F79" s="69"/>
      <c r="G79" s="76" t="s">
        <v>95</v>
      </c>
      <c r="H79" s="79">
        <f>IFERROR(ROUNDUP($C$63-$E$82*($C$63-$B$63)/($E$82-$E$80),4),"")</f>
        <v>0.0905</v>
      </c>
      <c r="I79" s="73"/>
      <c r="J79" s="76" t="s">
        <v>16</v>
      </c>
      <c r="K79" s="79">
        <f>IFERROR($D$63,"")</f>
        <v>0.072</v>
      </c>
      <c r="L79" s="77">
        <f>IFERROR($B$71+$C$71/(1+K79)+$D$71/((1+K79)^2)+$E$71/((1+K79)^3)+$F$71/((1+K79)^4)+$G$71/((1+K79)^5),"")</f>
        <v>1724.064353</v>
      </c>
      <c r="M79" s="81"/>
      <c r="N79" s="56"/>
      <c r="O79" s="4"/>
      <c r="P79" s="4"/>
      <c r="Q79" s="4"/>
      <c r="R79" s="81"/>
      <c r="S79" s="56"/>
      <c r="T79" s="4"/>
      <c r="U79" s="4"/>
      <c r="V79" s="4"/>
      <c r="W79" s="4"/>
      <c r="X79" s="4"/>
      <c r="Y79" s="4"/>
      <c r="Z79" s="4"/>
    </row>
    <row r="80" ht="13.5" customHeight="1">
      <c r="A80" s="80">
        <v>0.08</v>
      </c>
      <c r="B80" s="77">
        <f t="shared" si="5"/>
        <v>-712.1106539</v>
      </c>
      <c r="C80" s="77">
        <f t="shared" si="6"/>
        <v>7810.114769</v>
      </c>
      <c r="D80" s="77">
        <f t="shared" si="7"/>
        <v>-146.4911345</v>
      </c>
      <c r="E80" s="77">
        <f t="shared" si="8"/>
        <v>958.2672357</v>
      </c>
      <c r="F80" s="69"/>
      <c r="G80" s="69"/>
      <c r="H80" s="82"/>
      <c r="I80" s="73"/>
      <c r="J80" s="69"/>
      <c r="K80" s="69"/>
      <c r="L80" s="69"/>
      <c r="M80" s="81"/>
      <c r="N80" s="56"/>
      <c r="O80" s="4"/>
      <c r="P80" s="4"/>
      <c r="Q80" s="4"/>
      <c r="R80" s="81"/>
      <c r="S80" s="56"/>
      <c r="T80" s="4"/>
      <c r="U80" s="4"/>
      <c r="V80" s="4"/>
      <c r="W80" s="4"/>
      <c r="X80" s="4"/>
      <c r="Y80" s="4"/>
      <c r="Z80" s="4"/>
    </row>
    <row r="81" ht="13.5" customHeight="1">
      <c r="A81" s="80">
        <v>0.09</v>
      </c>
      <c r="B81" s="77">
        <f t="shared" si="5"/>
        <v>-1473.070419</v>
      </c>
      <c r="C81" s="77">
        <f t="shared" si="6"/>
        <v>5754.883834</v>
      </c>
      <c r="D81" s="77">
        <f t="shared" si="7"/>
        <v>-2468.485613</v>
      </c>
      <c r="E81" s="77">
        <f t="shared" si="8"/>
        <v>26.87703287</v>
      </c>
      <c r="F81" s="69"/>
      <c r="G81" s="69"/>
      <c r="H81" s="83"/>
      <c r="I81" s="73"/>
      <c r="J81" s="69"/>
      <c r="K81" s="69"/>
      <c r="L81" s="69"/>
      <c r="M81" s="81"/>
      <c r="N81" s="56"/>
      <c r="O81" s="4"/>
      <c r="P81" s="4"/>
      <c r="Q81" s="4"/>
      <c r="R81" s="81"/>
      <c r="S81" s="56"/>
      <c r="T81" s="4"/>
      <c r="U81" s="4"/>
      <c r="V81" s="4"/>
      <c r="W81" s="4"/>
      <c r="X81" s="4"/>
      <c r="Y81" s="4"/>
      <c r="Z81" s="4"/>
    </row>
    <row r="82" ht="13.5" customHeight="1">
      <c r="A82" s="80">
        <v>0.1</v>
      </c>
      <c r="B82" s="77">
        <f t="shared" si="5"/>
        <v>-2211.441022</v>
      </c>
      <c r="C82" s="77">
        <f t="shared" si="6"/>
        <v>3772.053343</v>
      </c>
      <c r="D82" s="77">
        <f t="shared" si="7"/>
        <v>-4721.551465</v>
      </c>
      <c r="E82" s="77">
        <f t="shared" si="8"/>
        <v>-876.8647633</v>
      </c>
      <c r="F82" s="69"/>
      <c r="G82" s="69"/>
      <c r="H82" s="83"/>
      <c r="I82" s="73"/>
      <c r="J82" s="69"/>
      <c r="K82" s="69"/>
      <c r="L82" s="69"/>
      <c r="M82" s="81"/>
      <c r="N82" s="56"/>
      <c r="O82" s="4"/>
      <c r="P82" s="4"/>
      <c r="Q82" s="4"/>
      <c r="R82" s="81"/>
      <c r="S82" s="56"/>
      <c r="T82" s="4"/>
      <c r="U82" s="4"/>
      <c r="V82" s="4"/>
      <c r="W82" s="4"/>
      <c r="X82" s="4"/>
      <c r="Y82" s="4"/>
      <c r="Z82" s="4"/>
    </row>
    <row r="83" ht="13.5" customHeight="1">
      <c r="A83" s="80">
        <v>0.11</v>
      </c>
      <c r="B83" s="77">
        <f t="shared" si="5"/>
        <v>-2928.123718</v>
      </c>
      <c r="C83" s="77">
        <f t="shared" si="6"/>
        <v>1858.428131</v>
      </c>
      <c r="D83" s="77">
        <f t="shared" si="7"/>
        <v>-6908.438786</v>
      </c>
      <c r="E83" s="77">
        <f t="shared" si="8"/>
        <v>-1754.061261</v>
      </c>
      <c r="F83" s="69"/>
      <c r="G83" s="69"/>
      <c r="H83" s="83"/>
      <c r="I83" s="73"/>
      <c r="J83" s="69"/>
      <c r="K83" s="69"/>
      <c r="L83" s="69"/>
      <c r="M83" s="81"/>
      <c r="N83" s="56"/>
      <c r="O83" s="4"/>
      <c r="P83" s="4"/>
      <c r="Q83" s="4"/>
      <c r="R83" s="81"/>
      <c r="S83" s="56"/>
      <c r="T83" s="4"/>
      <c r="U83" s="4"/>
      <c r="V83" s="4"/>
      <c r="W83" s="4"/>
      <c r="X83" s="4"/>
      <c r="Y83" s="4"/>
      <c r="Z83" s="4"/>
    </row>
    <row r="84" ht="13.5" customHeight="1">
      <c r="A84" s="80">
        <v>0.12</v>
      </c>
      <c r="B84" s="77">
        <f t="shared" si="5"/>
        <v>-3623.97531</v>
      </c>
      <c r="C84" s="77">
        <f t="shared" si="6"/>
        <v>10.9815051</v>
      </c>
      <c r="D84" s="77">
        <f t="shared" si="7"/>
        <v>-9031.762026</v>
      </c>
      <c r="E84" s="77">
        <f t="shared" si="8"/>
        <v>-2605.761161</v>
      </c>
      <c r="F84" s="69"/>
      <c r="G84" s="69"/>
      <c r="H84" s="83"/>
      <c r="I84" s="73"/>
      <c r="J84" s="69"/>
      <c r="K84" s="69"/>
      <c r="L84" s="69"/>
      <c r="M84" s="81"/>
      <c r="N84" s="56"/>
      <c r="O84" s="4"/>
      <c r="P84" s="4"/>
      <c r="Q84" s="4"/>
      <c r="R84" s="81"/>
      <c r="S84" s="56"/>
      <c r="T84" s="4"/>
      <c r="U84" s="4"/>
      <c r="V84" s="4"/>
      <c r="W84" s="4"/>
      <c r="X84" s="4"/>
      <c r="Y84" s="4"/>
      <c r="Z84" s="4"/>
    </row>
    <row r="85" ht="13.5" customHeight="1">
      <c r="A85" s="80">
        <v>0.13</v>
      </c>
      <c r="B85" s="77">
        <f t="shared" si="5"/>
        <v>-4299.810739</v>
      </c>
      <c r="C85" s="77">
        <f t="shared" si="6"/>
        <v>-1773.155048</v>
      </c>
      <c r="D85" s="77">
        <f t="shared" si="7"/>
        <v>-11094.0079</v>
      </c>
      <c r="E85" s="77">
        <f t="shared" si="8"/>
        <v>-3432.961922</v>
      </c>
      <c r="F85" s="69"/>
      <c r="G85" s="69"/>
      <c r="H85" s="83"/>
      <c r="I85" s="73"/>
      <c r="J85" s="69"/>
      <c r="K85" s="69"/>
      <c r="L85" s="69"/>
      <c r="M85" s="81"/>
      <c r="N85" s="56"/>
      <c r="O85" s="4"/>
      <c r="P85" s="4"/>
      <c r="Q85" s="4"/>
      <c r="R85" s="81"/>
      <c r="S85" s="56"/>
      <c r="T85" s="4"/>
      <c r="U85" s="4"/>
      <c r="V85" s="4"/>
      <c r="W85" s="4"/>
      <c r="X85" s="4"/>
      <c r="Y85" s="4"/>
      <c r="Z85" s="4"/>
    </row>
    <row r="86" ht="13.5" customHeight="1">
      <c r="A86" s="80">
        <v>0.14</v>
      </c>
      <c r="B86" s="77">
        <f t="shared" si="5"/>
        <v>-4956.405501</v>
      </c>
      <c r="C86" s="77">
        <f t="shared" si="6"/>
        <v>-3496.701447</v>
      </c>
      <c r="D86" s="77">
        <f t="shared" si="7"/>
        <v>-13097.54275</v>
      </c>
      <c r="E86" s="77">
        <f t="shared" si="8"/>
        <v>-4236.612728</v>
      </c>
      <c r="F86" s="69"/>
      <c r="G86" s="69"/>
      <c r="H86" s="83"/>
      <c r="I86" s="73"/>
      <c r="J86" s="69"/>
      <c r="K86" s="69"/>
      <c r="L86" s="69"/>
      <c r="M86" s="81"/>
      <c r="N86" s="56"/>
      <c r="O86" s="4"/>
      <c r="P86" s="4"/>
      <c r="Q86" s="4"/>
      <c r="R86" s="81"/>
      <c r="S86" s="56"/>
      <c r="T86" s="4"/>
      <c r="U86" s="4"/>
      <c r="V86" s="4"/>
      <c r="W86" s="4"/>
      <c r="X86" s="4"/>
      <c r="Y86" s="4"/>
      <c r="Z86" s="4"/>
    </row>
    <row r="87" ht="13.5" customHeight="1">
      <c r="A87" s="80">
        <v>0.15</v>
      </c>
      <c r="B87" s="77">
        <f t="shared" si="5"/>
        <v>-5594.497904</v>
      </c>
      <c r="C87" s="77">
        <f t="shared" si="6"/>
        <v>-5162.237939</v>
      </c>
      <c r="D87" s="77">
        <f t="shared" si="7"/>
        <v>-15044.61946</v>
      </c>
      <c r="E87" s="77">
        <f t="shared" si="8"/>
        <v>-5017.617243</v>
      </c>
      <c r="F87" s="69"/>
      <c r="G87" s="69"/>
      <c r="H87" s="83"/>
      <c r="I87" s="73"/>
      <c r="J87" s="69"/>
      <c r="K87" s="69"/>
      <c r="L87" s="69"/>
      <c r="M87" s="81"/>
      <c r="N87" s="56"/>
      <c r="O87" s="4"/>
      <c r="P87" s="4"/>
      <c r="Q87" s="4"/>
      <c r="R87" s="81"/>
      <c r="S87" s="56"/>
      <c r="T87" s="4"/>
      <c r="U87" s="4"/>
      <c r="V87" s="4"/>
      <c r="W87" s="4"/>
      <c r="X87" s="4"/>
      <c r="Y87" s="4"/>
      <c r="Z87" s="4"/>
    </row>
    <row r="88" ht="13.5" customHeight="1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ht="13.5" customHeight="1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ht="13.5" customHeight="1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ht="13.5" customHeight="1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ht="13.5" customHeight="1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ht="13.5" customHeight="1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ht="13.5" customHeight="1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ht="13.5" customHeight="1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ht="13.5" customHeight="1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ht="13.5" customHeight="1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ht="13.5" customHeight="1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ht="13.5" customHeight="1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ht="13.5" customHeight="1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ht="13.5" customHeight="1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ht="13.5" customHeight="1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ht="13.5" customHeight="1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ht="13.5" customHeight="1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ht="13.5" customHeight="1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ht="13.5" customHeight="1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ht="13.5" customHeight="1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ht="13.5" customHeight="1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ht="13.5" customHeight="1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ht="13.5" customHeight="1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ht="13.5" customHeight="1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ht="13.5" customHeight="1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ht="13.5" customHeight="1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ht="13.5" customHeight="1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ht="13.5" customHeight="1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ht="13.5" customHeight="1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ht="13.5" customHeight="1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ht="13.5" customHeight="1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ht="13.5" customHeight="1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ht="13.5" customHeight="1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ht="13.5" customHeight="1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ht="13.5" customHeight="1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ht="13.5" customHeight="1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ht="13.5" customHeight="1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ht="13.5" customHeight="1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ht="13.5" customHeight="1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ht="13.5" customHeight="1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ht="13.5" customHeight="1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ht="13.5" customHeight="1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ht="13.5" customHeight="1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ht="13.5" customHeight="1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ht="13.5" customHeight="1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ht="13.5" customHeight="1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ht="13.5" customHeight="1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ht="13.5" customHeight="1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ht="13.5" customHeight="1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ht="13.5" customHeight="1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ht="13.5" customHeight="1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ht="13.5" customHeight="1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ht="13.5" customHeight="1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ht="13.5" customHeight="1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ht="13.5" customHeight="1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ht="13.5" customHeight="1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ht="13.5" customHeight="1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ht="13.5" customHeight="1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ht="13.5" customHeight="1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ht="13.5" customHeight="1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ht="13.5" customHeight="1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ht="13.5" customHeight="1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ht="13.5" customHeight="1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ht="13.5" customHeight="1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ht="13.5" customHeight="1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ht="13.5" customHeight="1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ht="13.5" customHeight="1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ht="13.5" customHeight="1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ht="13.5" customHeight="1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ht="13.5" customHeight="1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ht="13.5" customHeight="1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ht="13.5" customHeight="1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ht="13.5" customHeight="1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ht="13.5" customHeight="1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ht="13.5" customHeight="1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ht="13.5" customHeight="1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ht="13.5" customHeight="1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ht="13.5" customHeight="1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ht="13.5" customHeight="1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ht="13.5" customHeight="1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ht="13.5" customHeight="1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ht="13.5" customHeight="1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ht="13.5" customHeight="1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ht="13.5" customHeight="1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ht="13.5" customHeight="1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ht="13.5" customHeight="1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ht="13.5" customHeight="1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ht="13.5" customHeight="1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ht="13.5" customHeight="1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ht="13.5" customHeight="1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ht="13.5" customHeight="1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ht="13.5" customHeight="1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ht="13.5" customHeight="1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ht="13.5" customHeight="1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ht="13.5" customHeight="1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ht="13.5" customHeight="1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ht="13.5" customHeight="1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ht="13.5" customHeight="1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ht="13.5" customHeight="1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ht="13.5" customHeight="1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ht="13.5" customHeight="1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ht="13.5" customHeight="1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ht="13.5" customHeight="1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ht="13.5" customHeight="1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ht="13.5" customHeight="1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ht="13.5" customHeight="1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ht="13.5" customHeight="1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ht="13.5" customHeight="1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ht="13.5" customHeight="1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ht="13.5" customHeight="1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ht="13.5" customHeight="1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ht="13.5" customHeight="1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ht="13.5" customHeight="1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ht="13.5" customHeight="1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ht="13.5" customHeight="1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ht="13.5" customHeight="1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ht="13.5" customHeight="1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ht="13.5" customHeight="1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ht="13.5" customHeight="1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ht="13.5" customHeight="1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ht="13.5" customHeight="1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ht="13.5" customHeight="1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ht="13.5" customHeight="1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ht="13.5" customHeight="1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ht="13.5" customHeight="1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ht="13.5" customHeight="1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ht="13.5" customHeight="1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ht="13.5" customHeight="1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ht="13.5" customHeight="1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ht="13.5" customHeight="1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ht="13.5" customHeight="1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ht="13.5" customHeight="1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ht="13.5" customHeight="1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ht="13.5" customHeight="1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ht="13.5" customHeight="1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ht="13.5" customHeight="1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ht="13.5" customHeight="1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ht="13.5" customHeight="1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ht="13.5" customHeight="1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ht="13.5" customHeight="1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ht="13.5" customHeight="1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ht="13.5" customHeight="1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ht="13.5" customHeight="1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ht="13.5" customHeight="1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ht="13.5" customHeight="1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ht="13.5" customHeight="1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ht="13.5" customHeight="1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ht="13.5" customHeight="1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ht="13.5" customHeight="1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ht="13.5" customHeight="1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ht="13.5" customHeight="1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ht="13.5" customHeight="1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ht="13.5" customHeight="1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ht="13.5" customHeight="1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ht="13.5" customHeight="1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ht="13.5" customHeight="1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ht="13.5" customHeight="1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ht="13.5" customHeight="1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ht="13.5" customHeight="1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ht="13.5" customHeight="1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ht="13.5" customHeight="1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ht="13.5" customHeight="1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ht="13.5" customHeight="1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ht="13.5" customHeight="1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ht="13.5" customHeight="1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ht="13.5" customHeight="1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ht="13.5" customHeight="1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ht="13.5" customHeight="1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ht="13.5" customHeight="1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ht="13.5" customHeight="1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ht="13.5" customHeight="1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ht="13.5" customHeight="1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ht="13.5" customHeight="1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ht="13.5" customHeight="1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ht="13.5" customHeight="1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ht="13.5" customHeight="1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ht="13.5" customHeight="1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ht="13.5" customHeight="1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ht="13.5" customHeight="1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ht="13.5" customHeight="1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ht="13.5" customHeight="1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ht="13.5" customHeight="1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ht="13.5" customHeight="1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ht="13.5" customHeight="1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ht="13.5" customHeight="1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ht="13.5" customHeight="1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ht="13.5" customHeight="1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ht="13.5" customHeight="1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ht="13.5" customHeight="1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ht="13.5" customHeight="1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ht="13.5" customHeight="1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ht="13.5" customHeight="1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ht="13.5" customHeight="1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ht="13.5" customHeight="1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ht="13.5" customHeight="1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ht="13.5" customHeight="1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ht="13.5" customHeight="1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ht="13.5" customHeight="1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ht="13.5" customHeight="1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ht="13.5" customHeight="1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ht="13.5" customHeight="1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ht="13.5" customHeight="1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ht="13.5" customHeight="1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ht="13.5" customHeight="1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ht="13.5" customHeight="1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ht="13.5" customHeight="1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ht="13.5" customHeight="1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ht="13.5" customHeight="1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ht="13.5" customHeight="1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ht="13.5" customHeight="1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ht="13.5" customHeight="1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ht="13.5" customHeight="1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ht="13.5" customHeight="1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ht="13.5" customHeight="1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ht="13.5" customHeight="1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ht="13.5" customHeight="1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ht="13.5" customHeight="1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ht="13.5" customHeight="1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ht="13.5" customHeight="1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ht="13.5" customHeight="1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ht="13.5" customHeight="1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ht="13.5" customHeight="1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ht="13.5" customHeight="1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ht="13.5" customHeight="1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ht="13.5" customHeight="1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ht="13.5" customHeight="1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ht="13.5" customHeight="1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ht="13.5" customHeight="1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ht="13.5" customHeight="1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ht="13.5" customHeight="1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ht="13.5" customHeight="1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ht="13.5" customHeight="1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ht="13.5" customHeight="1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ht="13.5" customHeight="1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ht="13.5" customHeight="1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ht="13.5" customHeight="1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ht="13.5" customHeight="1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ht="13.5" customHeight="1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ht="13.5" customHeight="1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ht="13.5" customHeight="1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ht="13.5" customHeight="1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ht="13.5" customHeight="1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ht="13.5" customHeight="1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ht="13.5" customHeight="1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ht="13.5" customHeight="1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ht="13.5" customHeight="1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ht="13.5" customHeight="1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ht="13.5" customHeight="1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ht="13.5" customHeight="1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ht="13.5" customHeight="1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ht="13.5" customHeight="1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ht="13.5" customHeight="1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ht="13.5" customHeight="1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ht="13.5" customHeight="1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ht="13.5" customHeight="1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ht="13.5" customHeight="1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ht="13.5" customHeight="1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ht="13.5" customHeight="1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ht="13.5" customHeight="1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ht="13.5" customHeight="1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ht="13.5" customHeight="1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ht="13.5" customHeight="1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ht="13.5" customHeight="1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ht="13.5" customHeight="1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ht="13.5" customHeight="1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ht="13.5" customHeight="1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ht="13.5" customHeight="1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ht="13.5" customHeight="1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ht="13.5" customHeight="1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ht="13.5" customHeight="1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ht="13.5" customHeight="1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ht="13.5" customHeight="1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ht="13.5" customHeight="1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ht="13.5" customHeight="1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ht="13.5" customHeight="1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ht="13.5" customHeigh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ht="13.5" customHeigh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ht="13.5" customHeigh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ht="13.5" customHeigh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ht="13.5" customHeigh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ht="13.5" customHeight="1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ht="13.5" customHeight="1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ht="13.5" customHeight="1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ht="13.5" customHeight="1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ht="13.5" customHeight="1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ht="13.5" customHeight="1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ht="13.5" customHeight="1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ht="13.5" customHeight="1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ht="13.5" customHeight="1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ht="13.5" customHeight="1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ht="13.5" customHeight="1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ht="13.5" customHeight="1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ht="13.5" customHeight="1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ht="13.5" customHeight="1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ht="13.5" customHeight="1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ht="13.5" customHeight="1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ht="13.5" customHeight="1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ht="13.5" customHeight="1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ht="13.5" customHeight="1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ht="13.5" customHeight="1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ht="13.5" customHeight="1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ht="13.5" customHeight="1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ht="13.5" customHeight="1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ht="13.5" customHeight="1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ht="13.5" customHeight="1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ht="13.5" customHeight="1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ht="13.5" customHeight="1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ht="13.5" customHeight="1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ht="13.5" customHeight="1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ht="13.5" customHeight="1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ht="13.5" customHeight="1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ht="13.5" customHeight="1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ht="13.5" customHeight="1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ht="13.5" customHeight="1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ht="13.5" customHeight="1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ht="13.5" customHeight="1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ht="13.5" customHeight="1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ht="13.5" customHeight="1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ht="13.5" customHeight="1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ht="13.5" customHeight="1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ht="13.5" customHeight="1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ht="13.5" customHeight="1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ht="13.5" customHeight="1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ht="13.5" customHeight="1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ht="13.5" customHeight="1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ht="13.5" customHeight="1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ht="13.5" customHeight="1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ht="13.5" customHeight="1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ht="13.5" customHeight="1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ht="13.5" customHeigh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ht="13.5" customHeight="1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ht="13.5" customHeight="1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ht="13.5" customHeight="1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ht="13.5" customHeight="1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ht="13.5" customHeight="1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ht="13.5" customHeight="1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ht="13.5" customHeight="1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ht="13.5" customHeight="1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ht="13.5" customHeight="1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ht="13.5" customHeight="1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ht="13.5" customHeight="1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ht="13.5" customHeight="1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ht="13.5" customHeight="1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ht="13.5" customHeight="1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ht="13.5" customHeight="1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ht="13.5" customHeight="1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ht="13.5" customHeight="1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ht="13.5" customHeight="1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ht="13.5" customHeight="1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ht="13.5" customHeight="1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ht="13.5" customHeight="1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ht="13.5" customHeight="1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ht="13.5" customHeight="1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ht="13.5" customHeight="1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ht="13.5" customHeight="1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ht="13.5" customHeight="1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ht="13.5" customHeight="1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ht="13.5" customHeight="1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ht="13.5" customHeight="1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ht="13.5" customHeight="1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ht="13.5" customHeight="1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ht="13.5" customHeight="1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ht="13.5" customHeight="1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ht="13.5" customHeight="1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ht="13.5" customHeight="1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ht="13.5" customHeight="1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ht="13.5" customHeight="1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ht="13.5" customHeight="1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ht="13.5" customHeight="1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ht="13.5" customHeight="1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ht="13.5" customHeight="1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ht="13.5" customHeight="1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ht="13.5" customHeight="1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ht="13.5" customHeight="1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ht="13.5" customHeight="1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ht="13.5" customHeight="1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ht="13.5" customHeight="1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ht="13.5" customHeight="1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ht="13.5" customHeight="1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ht="13.5" customHeight="1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ht="13.5" customHeight="1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ht="13.5" customHeight="1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ht="13.5" customHeight="1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ht="13.5" customHeight="1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ht="13.5" customHeight="1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ht="13.5" customHeight="1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ht="13.5" customHeight="1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ht="13.5" customHeight="1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ht="13.5" customHeight="1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ht="13.5" customHeight="1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ht="13.5" customHeight="1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ht="13.5" customHeight="1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ht="13.5" customHeight="1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ht="13.5" customHeight="1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ht="13.5" customHeight="1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ht="13.5" customHeight="1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ht="13.5" customHeight="1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ht="13.5" customHeight="1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ht="13.5" customHeight="1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ht="13.5" customHeight="1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ht="13.5" customHeight="1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ht="13.5" customHeight="1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ht="13.5" customHeight="1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ht="13.5" customHeight="1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ht="13.5" customHeight="1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ht="13.5" customHeight="1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ht="13.5" customHeight="1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ht="13.5" customHeight="1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ht="13.5" customHeight="1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ht="13.5" customHeight="1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ht="13.5" customHeight="1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ht="13.5" customHeight="1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ht="13.5" customHeight="1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ht="13.5" customHeight="1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ht="13.5" customHeight="1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ht="13.5" customHeight="1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ht="13.5" customHeight="1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ht="13.5" customHeight="1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ht="13.5" customHeight="1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ht="13.5" customHeight="1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ht="13.5" customHeight="1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ht="13.5" customHeight="1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ht="13.5" customHeight="1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ht="13.5" customHeight="1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ht="13.5" customHeight="1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ht="13.5" customHeight="1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ht="13.5" customHeight="1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ht="13.5" customHeight="1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ht="13.5" customHeight="1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ht="13.5" customHeight="1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ht="13.5" customHeight="1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ht="13.5" customHeight="1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ht="13.5" customHeight="1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ht="13.5" customHeight="1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ht="13.5" customHeight="1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ht="13.5" customHeight="1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ht="13.5" customHeight="1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ht="13.5" customHeight="1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ht="13.5" customHeight="1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ht="13.5" customHeight="1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ht="13.5" customHeight="1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ht="13.5" customHeight="1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ht="13.5" customHeight="1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ht="13.5" customHeight="1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ht="13.5" customHeight="1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ht="13.5" customHeight="1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ht="13.5" customHeight="1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ht="13.5" customHeight="1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ht="13.5" customHeight="1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ht="13.5" customHeight="1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ht="13.5" customHeight="1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ht="13.5" customHeight="1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ht="13.5" customHeight="1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ht="13.5" customHeight="1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ht="13.5" customHeight="1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ht="13.5" customHeight="1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ht="13.5" customHeight="1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ht="13.5" customHeight="1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ht="13.5" customHeight="1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ht="13.5" customHeight="1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ht="13.5" customHeight="1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ht="13.5" customHeight="1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ht="13.5" customHeight="1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ht="13.5" customHeight="1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ht="13.5" customHeight="1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ht="13.5" customHeight="1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ht="13.5" customHeight="1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ht="13.5" customHeight="1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ht="13.5" customHeight="1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ht="13.5" customHeight="1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ht="13.5" customHeight="1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ht="13.5" customHeight="1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ht="13.5" customHeigh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ht="13.5" customHeigh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ht="13.5" customHeigh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ht="13.5" customHeigh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ht="13.5" customHeigh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ht="13.5" customHeigh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ht="13.5" customHeigh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ht="13.5" customHeigh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ht="13.5" customHeigh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ht="13.5" customHeigh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ht="13.5" customHeigh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ht="13.5" customHeigh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ht="13.5" customHeigh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ht="13.5" customHeigh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ht="13.5" customHeigh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ht="13.5" customHeigh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ht="13.5" customHeigh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ht="13.5" customHeigh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ht="13.5" customHeigh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ht="13.5" customHeigh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ht="13.5" customHeigh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ht="13.5" customHeigh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ht="13.5" customHeigh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ht="13.5" customHeigh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ht="13.5" customHeigh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ht="13.5" customHeigh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ht="13.5" customHeigh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ht="13.5" customHeigh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ht="13.5" customHeigh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ht="13.5" customHeigh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ht="13.5" customHeigh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ht="13.5" customHeigh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ht="13.5" customHeigh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ht="13.5" customHeigh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ht="13.5" customHeigh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ht="13.5" customHeigh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ht="13.5" customHeigh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ht="13.5" customHeigh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ht="13.5" customHeigh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ht="13.5" customHeigh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ht="13.5" customHeigh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ht="13.5" customHeigh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ht="13.5" customHeigh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ht="13.5" customHeigh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ht="13.5" customHeigh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ht="13.5" customHeigh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ht="13.5" customHeigh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ht="13.5" customHeigh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ht="13.5" customHeigh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ht="13.5" customHeigh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ht="13.5" customHeigh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ht="13.5" customHeigh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ht="13.5" customHeigh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ht="13.5" customHeigh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ht="13.5" customHeigh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ht="13.5" customHeigh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ht="13.5" customHeigh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ht="13.5" customHeigh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ht="13.5" customHeigh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ht="13.5" customHeigh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ht="13.5" customHeigh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ht="13.5" customHeigh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ht="13.5" customHeigh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ht="13.5" customHeigh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ht="13.5" customHeigh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ht="13.5" customHeigh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ht="13.5" customHeigh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ht="13.5" customHeigh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ht="13.5" customHeigh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ht="13.5" customHeigh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ht="13.5" customHeigh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ht="13.5" customHeigh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ht="13.5" customHeigh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ht="13.5" customHeigh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ht="13.5" customHeigh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ht="13.5" customHeigh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ht="13.5" customHeigh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ht="13.5" customHeigh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ht="13.5" customHeigh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ht="13.5" customHeigh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ht="13.5" customHeigh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ht="13.5" customHeigh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ht="13.5" customHeigh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ht="13.5" customHeigh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ht="13.5" customHeigh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ht="13.5" customHeigh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ht="13.5" customHeigh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ht="13.5" customHeigh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ht="13.5" customHeigh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ht="13.5" customHeigh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ht="13.5" customHeigh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ht="13.5" customHeigh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ht="13.5" customHeigh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ht="13.5" customHeigh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ht="13.5" customHeigh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ht="13.5" customHeigh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ht="13.5" customHeigh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ht="13.5" customHeigh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ht="13.5" customHeigh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ht="13.5" customHeigh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ht="13.5" customHeigh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ht="13.5" customHeigh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ht="13.5" customHeigh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ht="13.5" customHeigh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ht="13.5" customHeigh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ht="13.5" customHeigh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ht="13.5" customHeigh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ht="13.5" customHeigh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ht="13.5" customHeigh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ht="13.5" customHeigh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ht="13.5" customHeigh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ht="13.5" customHeigh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ht="13.5" customHeigh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ht="13.5" customHeigh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ht="13.5" customHeigh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ht="13.5" customHeigh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ht="13.5" customHeigh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ht="13.5" customHeigh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ht="13.5" customHeigh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ht="13.5" customHeigh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ht="13.5" customHeight="1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ht="13.5" customHeight="1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ht="13.5" customHeight="1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ht="13.5" customHeight="1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ht="13.5" customHeight="1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ht="13.5" customHeight="1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ht="13.5" customHeight="1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ht="13.5" customHeight="1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ht="13.5" customHeight="1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ht="13.5" customHeight="1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ht="13.5" customHeight="1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ht="13.5" customHeight="1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ht="13.5" customHeight="1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ht="13.5" customHeight="1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ht="13.5" customHeight="1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ht="13.5" customHeight="1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ht="13.5" customHeight="1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ht="13.5" customHeight="1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ht="13.5" customHeight="1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ht="13.5" customHeight="1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ht="13.5" customHeight="1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ht="13.5" customHeight="1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ht="13.5" customHeight="1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ht="13.5" customHeight="1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ht="13.5" customHeight="1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ht="13.5" customHeight="1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ht="13.5" customHeight="1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ht="13.5" customHeight="1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ht="13.5" customHeight="1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ht="13.5" customHeight="1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ht="13.5" customHeight="1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ht="13.5" customHeight="1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ht="13.5" customHeight="1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ht="13.5" customHeight="1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ht="13.5" customHeight="1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ht="13.5" customHeight="1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ht="13.5" customHeight="1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ht="13.5" customHeight="1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ht="13.5" customHeight="1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ht="13.5" customHeight="1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ht="13.5" customHeight="1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ht="13.5" customHeight="1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ht="13.5" customHeight="1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ht="13.5" customHeight="1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ht="13.5" customHeight="1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ht="13.5" customHeight="1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ht="13.5" customHeight="1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ht="13.5" customHeight="1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ht="13.5" customHeight="1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ht="13.5" customHeight="1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ht="13.5" customHeight="1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ht="13.5" customHeight="1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ht="13.5" customHeight="1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ht="13.5" customHeight="1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ht="13.5" customHeight="1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ht="13.5" customHeight="1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ht="13.5" customHeight="1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ht="13.5" customHeight="1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ht="13.5" customHeight="1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ht="13.5" customHeight="1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ht="13.5" customHeight="1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ht="13.5" customHeight="1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ht="13.5" customHeight="1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ht="13.5" customHeight="1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ht="13.5" customHeight="1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ht="13.5" customHeight="1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ht="13.5" customHeight="1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ht="13.5" customHeight="1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ht="13.5" customHeight="1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ht="13.5" customHeight="1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ht="13.5" customHeight="1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ht="13.5" customHeight="1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ht="13.5" customHeight="1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ht="13.5" customHeight="1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ht="13.5" customHeight="1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ht="13.5" customHeight="1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ht="13.5" customHeight="1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ht="13.5" customHeight="1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ht="13.5" customHeight="1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ht="13.5" customHeight="1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ht="13.5" customHeight="1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ht="13.5" customHeight="1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ht="13.5" customHeight="1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ht="13.5" customHeight="1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ht="13.5" customHeight="1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ht="13.5" customHeight="1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ht="13.5" customHeight="1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ht="13.5" customHeight="1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ht="13.5" customHeight="1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ht="13.5" customHeight="1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ht="13.5" customHeight="1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ht="13.5" customHeight="1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ht="13.5" customHeight="1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ht="13.5" customHeight="1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ht="13.5" customHeight="1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ht="13.5" customHeight="1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ht="13.5" customHeight="1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ht="13.5" customHeight="1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ht="13.5" customHeight="1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ht="13.5" customHeight="1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ht="13.5" customHeight="1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ht="13.5" customHeight="1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ht="13.5" customHeight="1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ht="13.5" customHeight="1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ht="13.5" customHeight="1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ht="13.5" customHeight="1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ht="13.5" customHeight="1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ht="13.5" customHeight="1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ht="13.5" customHeight="1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ht="13.5" customHeight="1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ht="13.5" customHeight="1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ht="13.5" customHeight="1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ht="13.5" customHeight="1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ht="13.5" customHeight="1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ht="13.5" customHeight="1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ht="13.5" customHeight="1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ht="13.5" customHeight="1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ht="13.5" customHeight="1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ht="13.5" customHeight="1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ht="13.5" customHeight="1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ht="13.5" customHeight="1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ht="13.5" customHeight="1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ht="13.5" customHeight="1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ht="13.5" customHeight="1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ht="13.5" customHeight="1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ht="13.5" customHeight="1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ht="13.5" customHeight="1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ht="13.5" customHeight="1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ht="13.5" customHeight="1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ht="13.5" customHeight="1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ht="13.5" customHeight="1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ht="13.5" customHeight="1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ht="13.5" customHeight="1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ht="13.5" customHeight="1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ht="13.5" customHeight="1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ht="13.5" customHeight="1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ht="13.5" customHeight="1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ht="13.5" customHeight="1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ht="13.5" customHeight="1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ht="13.5" customHeight="1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ht="13.5" customHeight="1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ht="13.5" customHeight="1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ht="13.5" customHeight="1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ht="13.5" customHeight="1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ht="13.5" customHeight="1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ht="13.5" customHeight="1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ht="13.5" customHeight="1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ht="13.5" customHeight="1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ht="13.5" customHeight="1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ht="13.5" customHeight="1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ht="13.5" customHeight="1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ht="13.5" customHeight="1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ht="13.5" customHeight="1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ht="13.5" customHeight="1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ht="13.5" customHeight="1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ht="13.5" customHeight="1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ht="13.5" customHeight="1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ht="13.5" customHeight="1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ht="13.5" customHeight="1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ht="13.5" customHeight="1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ht="13.5" customHeight="1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ht="13.5" customHeight="1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ht="13.5" customHeight="1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ht="13.5" customHeight="1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ht="13.5" customHeight="1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ht="13.5" customHeight="1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ht="13.5" customHeight="1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ht="13.5" customHeight="1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ht="13.5" customHeight="1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ht="13.5" customHeight="1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ht="13.5" customHeight="1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ht="13.5" customHeight="1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ht="13.5" customHeight="1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ht="13.5" customHeight="1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ht="13.5" customHeight="1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ht="13.5" customHeight="1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ht="13.5" customHeight="1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ht="13.5" customHeight="1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ht="13.5" customHeight="1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ht="13.5" customHeight="1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ht="13.5" customHeight="1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ht="13.5" customHeight="1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ht="13.5" customHeight="1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ht="13.5" customHeight="1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ht="13.5" customHeight="1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ht="13.5" customHeight="1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ht="13.5" customHeight="1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ht="13.5" customHeight="1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ht="13.5" customHeight="1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ht="13.5" customHeight="1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ht="13.5" customHeight="1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ht="13.5" customHeight="1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ht="13.5" customHeight="1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ht="13.5" customHeight="1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ht="13.5" customHeight="1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ht="13.5" customHeight="1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ht="13.5" customHeight="1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ht="13.5" customHeight="1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ht="13.5" customHeight="1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ht="13.5" customHeight="1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ht="13.5" customHeight="1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ht="13.5" customHeight="1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ht="13.5" customHeight="1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ht="13.5" customHeight="1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ht="13.5" customHeight="1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ht="13.5" customHeight="1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ht="13.5" customHeight="1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ht="13.5" customHeight="1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ht="13.5" customHeight="1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ht="13.5" customHeight="1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ht="13.5" customHeight="1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ht="13.5" customHeight="1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ht="13.5" customHeight="1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ht="13.5" customHeight="1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ht="13.5" customHeight="1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ht="13.5" customHeight="1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ht="13.5" customHeight="1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ht="13.5" customHeight="1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ht="13.5" customHeight="1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ht="13.5" customHeight="1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ht="13.5" customHeight="1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ht="13.5" customHeight="1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ht="13.5" customHeight="1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ht="13.5" customHeight="1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ht="13.5" customHeight="1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ht="13.5" customHeight="1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ht="13.5" customHeight="1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ht="13.5" customHeight="1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ht="13.5" customHeight="1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ht="13.5" customHeight="1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ht="13.5" customHeight="1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ht="13.5" customHeight="1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ht="13.5" customHeight="1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ht="13.5" customHeight="1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ht="13.5" customHeight="1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ht="13.5" customHeight="1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ht="13.5" customHeight="1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ht="13.5" customHeight="1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ht="13.5" customHeight="1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ht="13.5" customHeight="1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ht="13.5" customHeight="1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ht="13.5" customHeight="1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ht="13.5" customHeight="1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ht="13.5" customHeight="1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ht="13.5" customHeight="1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ht="13.5" customHeight="1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ht="13.5" customHeight="1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ht="13.5" customHeight="1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ht="13.5" customHeight="1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ht="13.5" customHeight="1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ht="13.5" customHeight="1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ht="13.5" customHeight="1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ht="13.5" customHeight="1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ht="13.5" customHeight="1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ht="13.5" customHeight="1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ht="13.5" customHeight="1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ht="13.5" customHeight="1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ht="13.5" customHeight="1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ht="13.5" customHeight="1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ht="13.5" customHeight="1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ht="13.5" customHeight="1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ht="13.5" customHeight="1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ht="13.5" customHeight="1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ht="13.5" customHeight="1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ht="13.5" customHeight="1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ht="13.5" customHeight="1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ht="13.5" customHeight="1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ht="13.5" customHeight="1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ht="13.5" customHeight="1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ht="13.5" customHeight="1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ht="13.5" customHeight="1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ht="13.5" customHeight="1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ht="13.5" customHeight="1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ht="13.5" customHeight="1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ht="13.5" customHeight="1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ht="13.5" customHeight="1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ht="13.5" customHeight="1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ht="13.5" customHeight="1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ht="13.5" customHeight="1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ht="13.5" customHeight="1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ht="13.5" customHeight="1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ht="13.5" customHeight="1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ht="13.5" customHeight="1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ht="13.5" customHeight="1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ht="13.5" customHeight="1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ht="13.5" customHeight="1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ht="13.5" customHeight="1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ht="13.5" customHeight="1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ht="13.5" customHeight="1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ht="13.5" customHeight="1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ht="13.5" customHeight="1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ht="13.5" customHeight="1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ht="13.5" customHeight="1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ht="13.5" customHeight="1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ht="13.5" customHeight="1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ht="13.5" customHeight="1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ht="13.5" customHeight="1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ht="13.5" customHeight="1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ht="13.5" customHeight="1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ht="13.5" customHeight="1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ht="13.5" customHeight="1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ht="13.5" customHeight="1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ht="13.5" customHeight="1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ht="13.5" customHeight="1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ht="13.5" customHeight="1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ht="13.5" customHeight="1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ht="13.5" customHeight="1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ht="13.5" customHeight="1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ht="13.5" customHeight="1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ht="13.5" customHeight="1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ht="13.5" customHeight="1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ht="13.5" customHeight="1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ht="13.5" customHeight="1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ht="13.5" customHeight="1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ht="13.5" customHeight="1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ht="13.5" customHeight="1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ht="13.5" customHeight="1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ht="13.5" customHeight="1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ht="13.5" customHeight="1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ht="13.5" customHeight="1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ht="13.5" customHeight="1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</sheetData>
  <mergeCells count="44">
    <mergeCell ref="G73:H73"/>
    <mergeCell ref="G74:H74"/>
    <mergeCell ref="A61:D61"/>
    <mergeCell ref="A65:G65"/>
    <mergeCell ref="B66:G66"/>
    <mergeCell ref="A73:E73"/>
    <mergeCell ref="J73:L73"/>
    <mergeCell ref="A74:E74"/>
    <mergeCell ref="J74:L74"/>
    <mergeCell ref="P5:Q5"/>
    <mergeCell ref="S5:T5"/>
    <mergeCell ref="A1:T1"/>
    <mergeCell ref="A3:N3"/>
    <mergeCell ref="A5:B5"/>
    <mergeCell ref="D5:E5"/>
    <mergeCell ref="G5:H5"/>
    <mergeCell ref="J5:K5"/>
    <mergeCell ref="M5:N5"/>
    <mergeCell ref="G20:H20"/>
    <mergeCell ref="J20:L20"/>
    <mergeCell ref="A12:D12"/>
    <mergeCell ref="A14:B14"/>
    <mergeCell ref="D14:E14"/>
    <mergeCell ref="G14:I14"/>
    <mergeCell ref="A18:E18"/>
    <mergeCell ref="A20:B20"/>
    <mergeCell ref="D20:E20"/>
    <mergeCell ref="A24:D24"/>
    <mergeCell ref="A26:B26"/>
    <mergeCell ref="D26:E26"/>
    <mergeCell ref="G26:H26"/>
    <mergeCell ref="J26:L26"/>
    <mergeCell ref="A30:D30"/>
    <mergeCell ref="A32:B32"/>
    <mergeCell ref="D32:E32"/>
    <mergeCell ref="G32:I32"/>
    <mergeCell ref="A43:J43"/>
    <mergeCell ref="A45:J45"/>
    <mergeCell ref="A49:G49"/>
    <mergeCell ref="A53:H53"/>
    <mergeCell ref="A57:I57"/>
    <mergeCell ref="A66:A67"/>
    <mergeCell ref="A75:A76"/>
    <mergeCell ref="B75:E75"/>
  </mergeCells>
  <printOptions/>
  <pageMargins bottom="0.75" footer="0.0" header="0.0" left="0.7" right="0.7" top="0.7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18.14"/>
    <col customWidth="1" min="2" max="2" width="20.71"/>
    <col customWidth="1" min="3" max="4" width="24.29"/>
    <col customWidth="1" min="5" max="5" width="21.14"/>
    <col customWidth="1" min="6" max="6" width="20.71"/>
    <col customWidth="1" min="7" max="7" width="31.14"/>
    <col customWidth="1" min="8" max="8" width="20.14"/>
    <col customWidth="1" min="9" max="9" width="18.71"/>
    <col customWidth="1" min="10" max="10" width="18.43"/>
    <col customWidth="1" min="11" max="16" width="11.57"/>
    <col customWidth="1" min="17" max="26" width="10.71"/>
  </cols>
  <sheetData>
    <row r="1" ht="40.5" customHeight="1">
      <c r="A1" s="84" t="s">
        <v>96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3"/>
      <c r="Q1" s="4"/>
      <c r="R1" s="4"/>
      <c r="S1" s="4"/>
      <c r="T1" s="4"/>
      <c r="U1" s="4"/>
      <c r="V1" s="4"/>
      <c r="W1" s="4"/>
      <c r="X1" s="4"/>
      <c r="Y1" s="4"/>
      <c r="Z1" s="4"/>
    </row>
    <row r="2" ht="13.5" customHeight="1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ht="13.5" customHeight="1">
      <c r="A3" s="85" t="s">
        <v>97</v>
      </c>
      <c r="B3" s="6"/>
      <c r="C3" s="6"/>
      <c r="D3" s="6"/>
      <c r="E3" s="6"/>
      <c r="F3" s="6"/>
      <c r="G3" s="6"/>
      <c r="H3" s="6"/>
      <c r="I3" s="6"/>
      <c r="J3" s="7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ht="91.5" customHeight="1">
      <c r="A4" s="16" t="s">
        <v>98</v>
      </c>
      <c r="B4" s="16" t="s">
        <v>99</v>
      </c>
      <c r="C4" s="16" t="s">
        <v>100</v>
      </c>
      <c r="D4" s="16" t="s">
        <v>101</v>
      </c>
      <c r="E4" s="16" t="s">
        <v>102</v>
      </c>
      <c r="F4" s="16" t="s">
        <v>103</v>
      </c>
      <c r="G4" s="16" t="s">
        <v>104</v>
      </c>
      <c r="H4" s="16" t="s">
        <v>105</v>
      </c>
      <c r="I4" s="16" t="s">
        <v>106</v>
      </c>
      <c r="J4" s="16" t="s">
        <v>107</v>
      </c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ht="18.75" customHeight="1">
      <c r="A5" s="86">
        <f>IFERROR('SITUACIÓN'!$L$76,"")</f>
        <v>1800.954532</v>
      </c>
      <c r="B5" s="87">
        <f>IFERROR('SITUACIÓN'!$H$76,"")</f>
        <v>0.0711</v>
      </c>
      <c r="C5" s="86">
        <f>IFERROR('SITUACIÓN'!$L$77,"")</f>
        <v>-4668.519865</v>
      </c>
      <c r="D5" s="87">
        <f>IFERROR('SITUACIÓN'!$H$77,"")</f>
        <v>0.1203</v>
      </c>
      <c r="E5" s="86">
        <f>IFERROR('SITUACIÓN'!$L$78,"")</f>
        <v>5219.015277</v>
      </c>
      <c r="F5" s="87">
        <f>IFERROR('SITUACIÓN'!$H$78,"")</f>
        <v>0.0796</v>
      </c>
      <c r="G5" s="86">
        <f>IFERROR('SITUACIÓN'!$L$79,"")</f>
        <v>1724.064353</v>
      </c>
      <c r="H5" s="87">
        <f>IFERROR('SITUACIÓN'!$H$79,"")</f>
        <v>0.0905</v>
      </c>
      <c r="I5" s="88">
        <f>IFERROR(IF($B$16-'SITUACIÓN'!$J$47&gt;=0,$B$16-'SITUACIÓN'!$J$47,""),"")</f>
        <v>1534.969809</v>
      </c>
      <c r="J5" s="89">
        <f>IFERROR(IF($I$5&gt;=0,$I$5/$B$16,""),"")</f>
        <v>0.2186576084</v>
      </c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ht="13.5" customHeight="1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ht="13.5" customHeight="1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ht="13.5" customHeight="1">
      <c r="A8" s="24" t="s">
        <v>108</v>
      </c>
      <c r="B8" s="24" t="s">
        <v>109</v>
      </c>
      <c r="C8" s="4"/>
      <c r="D8" s="90" t="s">
        <v>110</v>
      </c>
      <c r="E8" s="6"/>
      <c r="F8" s="6"/>
      <c r="G8" s="7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ht="13.5" customHeight="1">
      <c r="A9" s="91" t="s">
        <v>13</v>
      </c>
      <c r="B9" s="92" t="s">
        <v>111</v>
      </c>
      <c r="C9" s="93">
        <f t="shared" ref="C9:C12" si="1">IFERROR(IF($B9="Invertir",1,0),"")</f>
        <v>1</v>
      </c>
      <c r="D9" s="17" t="str">
        <f>IFERROR(IF($B$15&gt;'SITUACIÓN'!$H$47,"Capital insuficiente para invertir","Capital suficiente para invertir"),"")</f>
        <v>Capital suficiente para invertir</v>
      </c>
      <c r="E9" s="17" t="str">
        <f>IFERROR(IF($D$9="Capital suficiente para invertir",IF(OR($C$9*'SITUACIÓN'!$L$76&lt;0,$C$10*'SITUACIÓN'!$L$77&lt;0,$C$11*'SITUACIÓN'!$L$78&lt;0,$C$12*'SITUACIÓN'!$L$79&lt;0),"Al menos uno de los proyectos elegido no es rentable","Los proyectos elegidos son rentables"),""),"")</f>
        <v>Los proyectos elegidos son rentables</v>
      </c>
      <c r="F9" s="17" t="str">
        <f>IFERROR(IF($E$9="Los proyectos elegidos son rentables",IF($B$16&lt;'SITUACIÓN'!$J$47,"No es posible pagar la deuda","La deuda se puede pagar"),""),"")</f>
        <v>La deuda se puede pagar</v>
      </c>
      <c r="G9" s="17" t="str">
        <f>IFERROR(IF($F$9="La deuda se puede pagar",IF(($B$16-'SITUACIÓN'!$J$47)/$B$16&lt;'SITUACIÓN'!$I$47,"Después de pagar la deuda, no hay buenas ganancias","Las ganancias son las esperadas después de pagar la deuda"),""),"")</f>
        <v>Las ganancias son las esperadas después de pagar la deuda</v>
      </c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ht="13.5" customHeight="1">
      <c r="A10" s="91" t="s">
        <v>14</v>
      </c>
      <c r="B10" s="92" t="s">
        <v>112</v>
      </c>
      <c r="C10" s="93">
        <f t="shared" si="1"/>
        <v>0</v>
      </c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ht="13.5" customHeight="1">
      <c r="A11" s="91" t="s">
        <v>15</v>
      </c>
      <c r="B11" s="94" t="s">
        <v>111</v>
      </c>
      <c r="C11" s="93">
        <f t="shared" si="1"/>
        <v>1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ht="13.5" customHeight="1">
      <c r="A12" s="91" t="s">
        <v>16</v>
      </c>
      <c r="B12" s="94" t="s">
        <v>112</v>
      </c>
      <c r="C12" s="93">
        <f t="shared" si="1"/>
        <v>0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ht="13.5" customHeight="1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ht="13.5" customHeight="1">
      <c r="A14" s="95" t="s">
        <v>75</v>
      </c>
      <c r="B14" s="7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ht="13.5" customHeight="1">
      <c r="A15" s="96" t="s">
        <v>113</v>
      </c>
      <c r="B15" s="97">
        <f>IFERROR(IF($B$9="Invertir",'SITUACIÓN'!$A$47,0)+IF($B$10="Invertir",'SITUACIÓN'!$B$47,0)+IF($B$11="Invertir",'SITUACIÓN'!$C$47,0)+IF($B$12="Invertir",'SITUACIÓN'!$D$47,0),"")</f>
        <v>174323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ht="13.5" customHeight="1">
      <c r="A16" s="96" t="s">
        <v>114</v>
      </c>
      <c r="B16" s="97">
        <f>IFERROR(IF($B$9="Invertir",'SITUACIÓN'!$L$76,0)+IF($B$10="Invertir",'SITUACIÓN'!$L$77,0)+IF($B$11="Invertir",'SITUACIÓN'!$L$78,0)+IF($B$12="Invertir",'SITUACIÓN'!$L$79,0),"")</f>
        <v>7019.969809</v>
      </c>
      <c r="C16" s="4"/>
      <c r="D16" s="4"/>
      <c r="E16" s="56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ht="13.5" customHeight="1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ht="13.5" customHeight="1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ht="13.5" customHeight="1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ht="13.5" customHeight="1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ht="13.5" customHeight="1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ht="13.5" customHeight="1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ht="13.5" customHeight="1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ht="13.5" customHeight="1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ht="13.5" customHeight="1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ht="13.5" customHeight="1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ht="13.5" customHeight="1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ht="13.5" customHeight="1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ht="13.5" customHeight="1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ht="13.5" customHeight="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ht="13.5" customHeight="1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ht="13.5" customHeight="1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ht="13.5" customHeight="1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ht="13.5" customHeight="1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ht="13.5" customHeight="1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ht="13.5" customHeight="1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ht="13.5" customHeight="1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ht="13.5" customHeight="1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ht="13.5" customHeight="1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ht="13.5" customHeight="1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ht="13.5" customHeight="1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ht="13.5" customHeight="1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ht="13.5" customHeight="1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ht="13.5" customHeight="1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ht="13.5" customHeight="1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ht="13.5" customHeight="1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ht="13.5" customHeight="1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ht="13.5" customHeight="1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ht="13.5" customHeight="1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ht="13.5" customHeight="1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ht="13.5" customHeight="1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ht="13.5" customHeight="1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ht="13.5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ht="13.5" customHeight="1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ht="13.5" customHeight="1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ht="13.5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ht="13.5" customHeight="1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ht="13.5" customHeight="1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ht="13.5" customHeight="1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ht="13.5" customHeight="1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ht="13.5" customHeight="1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ht="13.5" customHeight="1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ht="13.5" customHeight="1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ht="13.5" customHeight="1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ht="13.5" customHeight="1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ht="13.5" customHeight="1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ht="13.5" customHeight="1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ht="13.5" customHeight="1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ht="13.5" customHeight="1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ht="13.5" customHeight="1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ht="13.5" customHeight="1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ht="13.5" customHeight="1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ht="13.5" customHeight="1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ht="13.5" customHeight="1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ht="13.5" customHeight="1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ht="13.5" customHeight="1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ht="13.5" customHeight="1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ht="13.5" customHeight="1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ht="13.5" customHeight="1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ht="13.5" customHeight="1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ht="13.5" customHeight="1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ht="13.5" customHeight="1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ht="13.5" customHeight="1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ht="13.5" customHeight="1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ht="13.5" customHeight="1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ht="13.5" customHeight="1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ht="13.5" customHeight="1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ht="13.5" customHeight="1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ht="13.5" customHeight="1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ht="13.5" customHeight="1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ht="13.5" customHeight="1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ht="13.5" customHeight="1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ht="13.5" customHeight="1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ht="13.5" customHeight="1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ht="13.5" customHeight="1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ht="13.5" customHeight="1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ht="13.5" customHeight="1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ht="13.5" customHeight="1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ht="13.5" customHeight="1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ht="13.5" customHeight="1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ht="13.5" customHeight="1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ht="13.5" customHeight="1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ht="13.5" customHeight="1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ht="13.5" customHeight="1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ht="13.5" customHeight="1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ht="13.5" customHeight="1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ht="13.5" customHeight="1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ht="13.5" customHeight="1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ht="13.5" customHeight="1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ht="13.5" customHeight="1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ht="13.5" customHeight="1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ht="13.5" customHeight="1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ht="13.5" customHeight="1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ht="13.5" customHeight="1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ht="13.5" customHeight="1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ht="13.5" customHeight="1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ht="13.5" customHeight="1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ht="13.5" customHeight="1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ht="13.5" customHeight="1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ht="13.5" customHeight="1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ht="13.5" customHeight="1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ht="13.5" customHeight="1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ht="13.5" customHeight="1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ht="13.5" customHeight="1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ht="13.5" customHeight="1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ht="13.5" customHeight="1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ht="13.5" customHeight="1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ht="13.5" customHeight="1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ht="13.5" customHeight="1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ht="13.5" customHeight="1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ht="13.5" customHeight="1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ht="13.5" customHeight="1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ht="13.5" customHeight="1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ht="13.5" customHeight="1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ht="13.5" customHeight="1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ht="13.5" customHeight="1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ht="13.5" customHeight="1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ht="13.5" customHeight="1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ht="13.5" customHeight="1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ht="13.5" customHeight="1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ht="13.5" customHeight="1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ht="13.5" customHeight="1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ht="13.5" customHeight="1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ht="13.5" customHeight="1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ht="13.5" customHeight="1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ht="13.5" customHeight="1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ht="13.5" customHeight="1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ht="13.5" customHeight="1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ht="13.5" customHeight="1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ht="13.5" customHeight="1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ht="13.5" customHeight="1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ht="13.5" customHeight="1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ht="13.5" customHeight="1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ht="13.5" customHeight="1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ht="13.5" customHeight="1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ht="13.5" customHeight="1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ht="13.5" customHeight="1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ht="13.5" customHeight="1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ht="13.5" customHeight="1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ht="13.5" customHeight="1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ht="13.5" customHeight="1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ht="13.5" customHeight="1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ht="13.5" customHeight="1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ht="13.5" customHeight="1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ht="13.5" customHeight="1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ht="13.5" customHeight="1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ht="13.5" customHeight="1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ht="13.5" customHeight="1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ht="13.5" customHeight="1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ht="13.5" customHeight="1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ht="13.5" customHeight="1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ht="13.5" customHeight="1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ht="13.5" customHeight="1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ht="13.5" customHeight="1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ht="13.5" customHeight="1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ht="13.5" customHeight="1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ht="13.5" customHeight="1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ht="13.5" customHeight="1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ht="13.5" customHeight="1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ht="13.5" customHeight="1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ht="13.5" customHeight="1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ht="13.5" customHeight="1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ht="13.5" customHeight="1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ht="13.5" customHeight="1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ht="13.5" customHeight="1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ht="13.5" customHeight="1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ht="13.5" customHeight="1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ht="13.5" customHeight="1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ht="13.5" customHeight="1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ht="13.5" customHeight="1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ht="13.5" customHeight="1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ht="13.5" customHeight="1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ht="13.5" customHeight="1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ht="13.5" customHeight="1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ht="13.5" customHeight="1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ht="13.5" customHeight="1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ht="13.5" customHeight="1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ht="13.5" customHeight="1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ht="13.5" customHeight="1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ht="13.5" customHeight="1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ht="13.5" customHeight="1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ht="13.5" customHeight="1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ht="13.5" customHeight="1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ht="13.5" customHeight="1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ht="13.5" customHeight="1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ht="13.5" customHeight="1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ht="13.5" customHeight="1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ht="13.5" customHeight="1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ht="13.5" customHeight="1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ht="13.5" customHeight="1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ht="13.5" customHeight="1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ht="13.5" customHeight="1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ht="13.5" customHeight="1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ht="13.5" customHeight="1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ht="13.5" customHeight="1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ht="13.5" customHeight="1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ht="13.5" customHeight="1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ht="13.5" customHeight="1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ht="13.5" customHeight="1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ht="13.5" customHeight="1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ht="13.5" customHeight="1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ht="13.5" customHeight="1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ht="13.5" customHeight="1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ht="13.5" customHeight="1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ht="13.5" customHeight="1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ht="13.5" customHeight="1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ht="13.5" customHeight="1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ht="13.5" customHeight="1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ht="13.5" customHeight="1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ht="13.5" customHeight="1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ht="13.5" customHeight="1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ht="13.5" customHeight="1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ht="13.5" customHeight="1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ht="13.5" customHeight="1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ht="13.5" customHeight="1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ht="13.5" customHeight="1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ht="13.5" customHeight="1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ht="13.5" customHeight="1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ht="13.5" customHeight="1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ht="13.5" customHeight="1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ht="13.5" customHeight="1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ht="13.5" customHeight="1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ht="13.5" customHeight="1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ht="13.5" customHeight="1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ht="13.5" customHeight="1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ht="13.5" customHeight="1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ht="13.5" customHeight="1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ht="13.5" customHeight="1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ht="13.5" customHeight="1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ht="13.5" customHeight="1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ht="13.5" customHeight="1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ht="13.5" customHeight="1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ht="13.5" customHeight="1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ht="13.5" customHeight="1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ht="13.5" customHeight="1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ht="13.5" customHeight="1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ht="13.5" customHeight="1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ht="13.5" customHeight="1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ht="13.5" customHeight="1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ht="13.5" customHeight="1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ht="13.5" customHeight="1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ht="13.5" customHeight="1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ht="13.5" customHeight="1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ht="13.5" customHeight="1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ht="13.5" customHeight="1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ht="13.5" customHeight="1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ht="13.5" customHeight="1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ht="13.5" customHeight="1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ht="13.5" customHeight="1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ht="13.5" customHeight="1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ht="13.5" customHeight="1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ht="13.5" customHeight="1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ht="13.5" customHeight="1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ht="13.5" customHeight="1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ht="13.5" customHeight="1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ht="13.5" customHeight="1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ht="13.5" customHeight="1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ht="13.5" customHeight="1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ht="13.5" customHeight="1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ht="13.5" customHeight="1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ht="13.5" customHeight="1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ht="13.5" customHeight="1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ht="13.5" customHeight="1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ht="13.5" customHeight="1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ht="13.5" customHeight="1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ht="13.5" customHeight="1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ht="13.5" customHeight="1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ht="13.5" customHeight="1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ht="13.5" customHeight="1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ht="13.5" customHeight="1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ht="13.5" customHeight="1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ht="13.5" customHeight="1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ht="13.5" customHeight="1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ht="13.5" customHeight="1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ht="13.5" customHeight="1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ht="13.5" customHeight="1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ht="13.5" customHeight="1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ht="13.5" customHeight="1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ht="13.5" customHeight="1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ht="13.5" customHeight="1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ht="13.5" customHeight="1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ht="13.5" customHeight="1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ht="13.5" customHeight="1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ht="13.5" customHeight="1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ht="13.5" customHeight="1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ht="13.5" customHeight="1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ht="13.5" customHeight="1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ht="13.5" customHeight="1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ht="13.5" customHeight="1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ht="13.5" customHeight="1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ht="13.5" customHeight="1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ht="13.5" customHeight="1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ht="13.5" customHeight="1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ht="13.5" customHeight="1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ht="13.5" customHeight="1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ht="13.5" customHeight="1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ht="13.5" customHeight="1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ht="13.5" customHeight="1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ht="13.5" customHeight="1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ht="13.5" customHeight="1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ht="13.5" customHeight="1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ht="13.5" customHeight="1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ht="13.5" customHeight="1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ht="13.5" customHeight="1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ht="13.5" customHeight="1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ht="13.5" customHeight="1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ht="13.5" customHeight="1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ht="13.5" customHeight="1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ht="13.5" customHeight="1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ht="13.5" customHeight="1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ht="13.5" customHeight="1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ht="13.5" customHeight="1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ht="13.5" customHeight="1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ht="13.5" customHeight="1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ht="13.5" customHeight="1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ht="13.5" customHeight="1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ht="13.5" customHeight="1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ht="13.5" customHeight="1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ht="13.5" customHeight="1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ht="13.5" customHeight="1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ht="13.5" customHeight="1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ht="13.5" customHeight="1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ht="13.5" customHeight="1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ht="13.5" customHeight="1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ht="13.5" customHeight="1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ht="13.5" customHeight="1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ht="13.5" customHeight="1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ht="13.5" customHeight="1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ht="13.5" customHeight="1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ht="13.5" customHeight="1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ht="13.5" customHeight="1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ht="13.5" customHeight="1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ht="13.5" customHeight="1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ht="13.5" customHeight="1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ht="13.5" customHeight="1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ht="13.5" customHeight="1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ht="13.5" customHeight="1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ht="13.5" customHeight="1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ht="13.5" customHeight="1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ht="13.5" customHeight="1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ht="13.5" customHeight="1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ht="13.5" customHeight="1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ht="13.5" customHeigh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ht="13.5" customHeigh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ht="13.5" customHeigh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ht="13.5" customHeigh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ht="13.5" customHeigh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ht="13.5" customHeight="1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ht="13.5" customHeight="1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ht="13.5" customHeight="1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ht="13.5" customHeight="1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ht="13.5" customHeight="1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ht="13.5" customHeight="1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ht="13.5" customHeight="1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ht="13.5" customHeight="1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ht="13.5" customHeight="1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ht="13.5" customHeight="1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ht="13.5" customHeight="1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ht="13.5" customHeight="1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ht="13.5" customHeight="1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ht="13.5" customHeight="1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ht="13.5" customHeight="1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ht="13.5" customHeight="1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ht="13.5" customHeight="1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ht="13.5" customHeight="1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ht="13.5" customHeight="1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ht="13.5" customHeight="1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ht="13.5" customHeight="1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ht="13.5" customHeight="1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ht="13.5" customHeight="1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ht="13.5" customHeight="1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ht="13.5" customHeight="1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ht="13.5" customHeight="1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ht="13.5" customHeight="1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ht="13.5" customHeight="1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ht="13.5" customHeight="1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ht="13.5" customHeight="1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ht="13.5" customHeight="1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ht="13.5" customHeight="1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ht="13.5" customHeight="1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ht="13.5" customHeight="1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ht="13.5" customHeight="1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ht="13.5" customHeight="1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ht="13.5" customHeight="1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ht="13.5" customHeight="1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ht="13.5" customHeight="1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ht="13.5" customHeight="1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ht="13.5" customHeight="1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ht="13.5" customHeight="1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ht="13.5" customHeight="1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ht="13.5" customHeight="1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ht="13.5" customHeight="1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ht="13.5" customHeight="1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ht="13.5" customHeight="1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ht="13.5" customHeight="1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ht="13.5" customHeight="1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ht="13.5" customHeigh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ht="13.5" customHeight="1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ht="13.5" customHeight="1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ht="13.5" customHeight="1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ht="13.5" customHeight="1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ht="13.5" customHeight="1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ht="13.5" customHeight="1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ht="13.5" customHeight="1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ht="13.5" customHeight="1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ht="13.5" customHeight="1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ht="13.5" customHeight="1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ht="13.5" customHeight="1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ht="13.5" customHeight="1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ht="13.5" customHeight="1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ht="13.5" customHeight="1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ht="13.5" customHeight="1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ht="13.5" customHeight="1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ht="13.5" customHeight="1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ht="13.5" customHeight="1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ht="13.5" customHeight="1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ht="13.5" customHeight="1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ht="13.5" customHeight="1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ht="13.5" customHeight="1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ht="13.5" customHeight="1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ht="13.5" customHeight="1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ht="13.5" customHeight="1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ht="13.5" customHeight="1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ht="13.5" customHeight="1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ht="13.5" customHeight="1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ht="13.5" customHeight="1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ht="13.5" customHeight="1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ht="13.5" customHeight="1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ht="13.5" customHeight="1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ht="13.5" customHeight="1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ht="13.5" customHeight="1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ht="13.5" customHeight="1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ht="13.5" customHeight="1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ht="13.5" customHeight="1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ht="13.5" customHeight="1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ht="13.5" customHeight="1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ht="13.5" customHeight="1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ht="13.5" customHeight="1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ht="13.5" customHeight="1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ht="13.5" customHeight="1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ht="13.5" customHeight="1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ht="13.5" customHeight="1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ht="13.5" customHeight="1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ht="13.5" customHeight="1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ht="13.5" customHeight="1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ht="13.5" customHeight="1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ht="13.5" customHeight="1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ht="13.5" customHeight="1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ht="13.5" customHeight="1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ht="13.5" customHeight="1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ht="13.5" customHeight="1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ht="13.5" customHeight="1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ht="13.5" customHeight="1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ht="13.5" customHeight="1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ht="13.5" customHeight="1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ht="13.5" customHeight="1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ht="13.5" customHeight="1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ht="13.5" customHeight="1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ht="13.5" customHeight="1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ht="13.5" customHeight="1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ht="13.5" customHeight="1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ht="13.5" customHeight="1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ht="13.5" customHeight="1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ht="13.5" customHeight="1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ht="13.5" customHeight="1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ht="13.5" customHeight="1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ht="13.5" customHeight="1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ht="13.5" customHeight="1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ht="13.5" customHeight="1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ht="13.5" customHeight="1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ht="13.5" customHeight="1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ht="13.5" customHeight="1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ht="13.5" customHeight="1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ht="13.5" customHeight="1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ht="13.5" customHeight="1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ht="13.5" customHeight="1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ht="13.5" customHeight="1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ht="13.5" customHeight="1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ht="13.5" customHeight="1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ht="13.5" customHeight="1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ht="13.5" customHeight="1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ht="13.5" customHeight="1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ht="13.5" customHeight="1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ht="13.5" customHeight="1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ht="13.5" customHeight="1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ht="13.5" customHeight="1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ht="13.5" customHeight="1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ht="13.5" customHeight="1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ht="13.5" customHeight="1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ht="13.5" customHeight="1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ht="13.5" customHeight="1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ht="13.5" customHeight="1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ht="13.5" customHeight="1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ht="13.5" customHeight="1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ht="13.5" customHeight="1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ht="13.5" customHeight="1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ht="13.5" customHeight="1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ht="13.5" customHeight="1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ht="13.5" customHeight="1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ht="13.5" customHeight="1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ht="13.5" customHeight="1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ht="13.5" customHeight="1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ht="13.5" customHeight="1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ht="13.5" customHeight="1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ht="13.5" customHeight="1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ht="13.5" customHeight="1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ht="13.5" customHeight="1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ht="13.5" customHeight="1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ht="13.5" customHeight="1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ht="13.5" customHeight="1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ht="13.5" customHeight="1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ht="13.5" customHeight="1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ht="13.5" customHeight="1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ht="13.5" customHeight="1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ht="13.5" customHeight="1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ht="13.5" customHeight="1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ht="13.5" customHeight="1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ht="13.5" customHeight="1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ht="13.5" customHeight="1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ht="13.5" customHeight="1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ht="13.5" customHeight="1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ht="13.5" customHeight="1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ht="13.5" customHeight="1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ht="13.5" customHeight="1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ht="13.5" customHeight="1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ht="13.5" customHeight="1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ht="13.5" customHeight="1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ht="13.5" customHeight="1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ht="13.5" customHeight="1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ht="13.5" customHeight="1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ht="13.5" customHeight="1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ht="13.5" customHeight="1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ht="13.5" customHeight="1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ht="13.5" customHeight="1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ht="13.5" customHeight="1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ht="13.5" customHeight="1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ht="13.5" customHeight="1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ht="13.5" customHeight="1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ht="13.5" customHeight="1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ht="13.5" customHeigh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ht="13.5" customHeigh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ht="13.5" customHeigh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ht="13.5" customHeigh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ht="13.5" customHeigh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ht="13.5" customHeigh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ht="13.5" customHeigh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ht="13.5" customHeigh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ht="13.5" customHeigh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ht="13.5" customHeigh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ht="13.5" customHeigh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ht="13.5" customHeigh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ht="13.5" customHeigh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ht="13.5" customHeigh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ht="13.5" customHeigh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ht="13.5" customHeigh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ht="13.5" customHeigh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ht="13.5" customHeigh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ht="13.5" customHeigh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ht="13.5" customHeigh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ht="13.5" customHeigh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ht="13.5" customHeigh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ht="13.5" customHeigh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ht="13.5" customHeigh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ht="13.5" customHeigh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ht="13.5" customHeigh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ht="13.5" customHeigh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ht="13.5" customHeigh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ht="13.5" customHeigh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ht="13.5" customHeigh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ht="13.5" customHeigh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ht="13.5" customHeigh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ht="13.5" customHeigh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ht="13.5" customHeigh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ht="13.5" customHeigh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ht="13.5" customHeigh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ht="13.5" customHeigh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ht="13.5" customHeigh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ht="13.5" customHeigh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ht="13.5" customHeigh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ht="13.5" customHeigh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ht="13.5" customHeigh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ht="13.5" customHeigh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ht="13.5" customHeigh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ht="13.5" customHeigh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ht="13.5" customHeigh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ht="13.5" customHeigh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ht="13.5" customHeigh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ht="13.5" customHeigh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ht="13.5" customHeigh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ht="13.5" customHeigh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ht="13.5" customHeigh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ht="13.5" customHeigh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ht="13.5" customHeigh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ht="13.5" customHeigh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ht="13.5" customHeigh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ht="13.5" customHeigh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ht="13.5" customHeigh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ht="13.5" customHeigh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ht="13.5" customHeigh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ht="13.5" customHeigh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ht="13.5" customHeigh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ht="13.5" customHeigh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ht="13.5" customHeigh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ht="13.5" customHeigh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ht="13.5" customHeigh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ht="13.5" customHeigh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ht="13.5" customHeigh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ht="13.5" customHeigh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ht="13.5" customHeigh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ht="13.5" customHeigh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ht="13.5" customHeigh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ht="13.5" customHeigh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ht="13.5" customHeigh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ht="13.5" customHeigh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ht="13.5" customHeigh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ht="13.5" customHeigh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ht="13.5" customHeigh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ht="13.5" customHeigh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ht="13.5" customHeigh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ht="13.5" customHeigh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ht="13.5" customHeigh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ht="13.5" customHeigh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ht="13.5" customHeigh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ht="13.5" customHeigh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ht="13.5" customHeigh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ht="13.5" customHeigh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ht="13.5" customHeigh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ht="13.5" customHeigh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ht="13.5" customHeigh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ht="13.5" customHeigh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ht="13.5" customHeigh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ht="13.5" customHeigh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ht="13.5" customHeigh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ht="13.5" customHeigh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ht="13.5" customHeigh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ht="13.5" customHeigh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ht="13.5" customHeigh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ht="13.5" customHeigh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ht="13.5" customHeigh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ht="13.5" customHeigh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ht="13.5" customHeigh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ht="13.5" customHeigh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ht="13.5" customHeigh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ht="13.5" customHeigh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ht="13.5" customHeigh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ht="13.5" customHeigh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ht="13.5" customHeigh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ht="13.5" customHeigh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ht="13.5" customHeigh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ht="13.5" customHeigh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ht="13.5" customHeigh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ht="13.5" customHeigh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ht="13.5" customHeigh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ht="13.5" customHeigh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ht="13.5" customHeigh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ht="13.5" customHeigh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ht="13.5" customHeigh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ht="13.5" customHeigh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ht="13.5" customHeigh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ht="13.5" customHeight="1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ht="13.5" customHeight="1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ht="13.5" customHeight="1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ht="13.5" customHeight="1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ht="13.5" customHeight="1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ht="13.5" customHeight="1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ht="13.5" customHeight="1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ht="13.5" customHeight="1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ht="13.5" customHeight="1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ht="13.5" customHeight="1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ht="13.5" customHeight="1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ht="13.5" customHeight="1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ht="13.5" customHeight="1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ht="13.5" customHeight="1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ht="13.5" customHeight="1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ht="13.5" customHeight="1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ht="13.5" customHeight="1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ht="13.5" customHeight="1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ht="13.5" customHeight="1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ht="13.5" customHeight="1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ht="13.5" customHeight="1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ht="13.5" customHeight="1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ht="13.5" customHeight="1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ht="13.5" customHeight="1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ht="13.5" customHeight="1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ht="13.5" customHeight="1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ht="13.5" customHeight="1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ht="13.5" customHeight="1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ht="13.5" customHeight="1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ht="13.5" customHeight="1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ht="13.5" customHeight="1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ht="13.5" customHeight="1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ht="13.5" customHeight="1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ht="13.5" customHeight="1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ht="13.5" customHeight="1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ht="13.5" customHeight="1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ht="13.5" customHeight="1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ht="13.5" customHeight="1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ht="13.5" customHeight="1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ht="13.5" customHeight="1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ht="13.5" customHeight="1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ht="13.5" customHeight="1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ht="13.5" customHeight="1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ht="13.5" customHeight="1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ht="13.5" customHeight="1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ht="13.5" customHeight="1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ht="13.5" customHeight="1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ht="13.5" customHeight="1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ht="13.5" customHeight="1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ht="13.5" customHeight="1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ht="13.5" customHeight="1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ht="13.5" customHeight="1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ht="13.5" customHeight="1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ht="13.5" customHeight="1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ht="13.5" customHeight="1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ht="13.5" customHeight="1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ht="13.5" customHeight="1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ht="13.5" customHeight="1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ht="13.5" customHeight="1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ht="13.5" customHeight="1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ht="13.5" customHeight="1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ht="13.5" customHeight="1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ht="13.5" customHeight="1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ht="13.5" customHeight="1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ht="13.5" customHeight="1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ht="13.5" customHeight="1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ht="13.5" customHeight="1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ht="13.5" customHeight="1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ht="13.5" customHeight="1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ht="13.5" customHeight="1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ht="13.5" customHeight="1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ht="13.5" customHeight="1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ht="13.5" customHeight="1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ht="13.5" customHeight="1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ht="13.5" customHeight="1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ht="13.5" customHeight="1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ht="13.5" customHeight="1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ht="13.5" customHeight="1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ht="13.5" customHeight="1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ht="13.5" customHeight="1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ht="13.5" customHeight="1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ht="13.5" customHeight="1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ht="13.5" customHeight="1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ht="13.5" customHeight="1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ht="13.5" customHeight="1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ht="13.5" customHeight="1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ht="13.5" customHeight="1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ht="13.5" customHeight="1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ht="13.5" customHeight="1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ht="13.5" customHeight="1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ht="13.5" customHeight="1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ht="13.5" customHeight="1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ht="13.5" customHeight="1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ht="13.5" customHeight="1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ht="13.5" customHeight="1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ht="13.5" customHeight="1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ht="13.5" customHeight="1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ht="13.5" customHeight="1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ht="13.5" customHeight="1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ht="13.5" customHeight="1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ht="13.5" customHeight="1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ht="13.5" customHeight="1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ht="13.5" customHeight="1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ht="13.5" customHeight="1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ht="13.5" customHeight="1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ht="13.5" customHeight="1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ht="13.5" customHeight="1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ht="13.5" customHeight="1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ht="13.5" customHeight="1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ht="13.5" customHeight="1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ht="13.5" customHeight="1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ht="13.5" customHeight="1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ht="13.5" customHeight="1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ht="13.5" customHeight="1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ht="13.5" customHeight="1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ht="13.5" customHeight="1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ht="13.5" customHeight="1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ht="13.5" customHeight="1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ht="13.5" customHeight="1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ht="13.5" customHeight="1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ht="13.5" customHeight="1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ht="13.5" customHeight="1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ht="13.5" customHeight="1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ht="13.5" customHeight="1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ht="13.5" customHeight="1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ht="13.5" customHeight="1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ht="13.5" customHeight="1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ht="13.5" customHeight="1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ht="13.5" customHeight="1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ht="13.5" customHeight="1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ht="13.5" customHeight="1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ht="13.5" customHeight="1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ht="13.5" customHeight="1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ht="13.5" customHeight="1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ht="13.5" customHeight="1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ht="13.5" customHeight="1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ht="13.5" customHeight="1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ht="13.5" customHeight="1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ht="13.5" customHeight="1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ht="13.5" customHeight="1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ht="13.5" customHeight="1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ht="13.5" customHeight="1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ht="13.5" customHeight="1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ht="13.5" customHeight="1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ht="13.5" customHeight="1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ht="13.5" customHeight="1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ht="13.5" customHeight="1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ht="13.5" customHeight="1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ht="13.5" customHeight="1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ht="13.5" customHeight="1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ht="13.5" customHeight="1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ht="13.5" customHeight="1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ht="13.5" customHeight="1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ht="13.5" customHeight="1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ht="13.5" customHeight="1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ht="13.5" customHeight="1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ht="13.5" customHeight="1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ht="13.5" customHeight="1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ht="13.5" customHeight="1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ht="13.5" customHeight="1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ht="13.5" customHeight="1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ht="13.5" customHeight="1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ht="13.5" customHeight="1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ht="13.5" customHeight="1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ht="13.5" customHeight="1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ht="13.5" customHeight="1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ht="13.5" customHeight="1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ht="13.5" customHeight="1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ht="13.5" customHeight="1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ht="13.5" customHeight="1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ht="13.5" customHeight="1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ht="13.5" customHeight="1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ht="13.5" customHeight="1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ht="13.5" customHeight="1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ht="13.5" customHeight="1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ht="13.5" customHeight="1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ht="13.5" customHeight="1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ht="13.5" customHeight="1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ht="13.5" customHeight="1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ht="13.5" customHeight="1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ht="13.5" customHeight="1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ht="13.5" customHeight="1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ht="13.5" customHeight="1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ht="13.5" customHeight="1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ht="13.5" customHeight="1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ht="13.5" customHeight="1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ht="13.5" customHeight="1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ht="13.5" customHeight="1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ht="13.5" customHeight="1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ht="13.5" customHeight="1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ht="13.5" customHeight="1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ht="13.5" customHeight="1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ht="13.5" customHeight="1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ht="13.5" customHeight="1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ht="13.5" customHeight="1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ht="13.5" customHeight="1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ht="13.5" customHeight="1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ht="13.5" customHeight="1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ht="13.5" customHeight="1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ht="13.5" customHeight="1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ht="13.5" customHeight="1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ht="13.5" customHeight="1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ht="13.5" customHeight="1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ht="13.5" customHeight="1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ht="13.5" customHeight="1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ht="13.5" customHeight="1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ht="13.5" customHeight="1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ht="13.5" customHeight="1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ht="13.5" customHeight="1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ht="13.5" customHeight="1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ht="13.5" customHeight="1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ht="13.5" customHeight="1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ht="13.5" customHeight="1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ht="13.5" customHeight="1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ht="13.5" customHeight="1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ht="13.5" customHeight="1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ht="13.5" customHeight="1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ht="13.5" customHeight="1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ht="13.5" customHeight="1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ht="13.5" customHeight="1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ht="13.5" customHeight="1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ht="13.5" customHeight="1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ht="13.5" customHeight="1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ht="13.5" customHeight="1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ht="13.5" customHeight="1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ht="13.5" customHeight="1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ht="13.5" customHeight="1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ht="13.5" customHeight="1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ht="13.5" customHeight="1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ht="13.5" customHeight="1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ht="13.5" customHeight="1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ht="13.5" customHeight="1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ht="13.5" customHeight="1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ht="13.5" customHeight="1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ht="13.5" customHeight="1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ht="13.5" customHeight="1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ht="13.5" customHeight="1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ht="13.5" customHeight="1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ht="13.5" customHeight="1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ht="13.5" customHeight="1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ht="13.5" customHeight="1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ht="13.5" customHeight="1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ht="13.5" customHeight="1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ht="13.5" customHeight="1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ht="13.5" customHeight="1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ht="13.5" customHeight="1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ht="13.5" customHeight="1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ht="13.5" customHeight="1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ht="13.5" customHeight="1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ht="13.5" customHeight="1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ht="13.5" customHeight="1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ht="13.5" customHeight="1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ht="13.5" customHeight="1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ht="13.5" customHeight="1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ht="13.5" customHeight="1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ht="13.5" customHeight="1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ht="13.5" customHeight="1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ht="13.5" customHeight="1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ht="13.5" customHeight="1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ht="13.5" customHeight="1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ht="13.5" customHeight="1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ht="13.5" customHeight="1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ht="13.5" customHeight="1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ht="13.5" customHeight="1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ht="13.5" customHeight="1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ht="13.5" customHeight="1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ht="13.5" customHeight="1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ht="13.5" customHeight="1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ht="13.5" customHeight="1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ht="13.5" customHeight="1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ht="13.5" customHeight="1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ht="13.5" customHeight="1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ht="13.5" customHeight="1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ht="13.5" customHeight="1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ht="13.5" customHeight="1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ht="13.5" customHeight="1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ht="13.5" customHeight="1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ht="13.5" customHeight="1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ht="13.5" customHeight="1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ht="13.5" customHeight="1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ht="13.5" customHeight="1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ht="13.5" customHeight="1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ht="13.5" customHeight="1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ht="13.5" customHeight="1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ht="13.5" customHeight="1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ht="13.5" customHeight="1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ht="13.5" customHeight="1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ht="13.5" customHeight="1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ht="13.5" customHeight="1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ht="13.5" customHeight="1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ht="13.5" customHeight="1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ht="13.5" customHeight="1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ht="13.5" customHeight="1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ht="13.5" customHeight="1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ht="13.5" customHeight="1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ht="13.5" customHeight="1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ht="13.5" customHeight="1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ht="13.5" customHeight="1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ht="13.5" customHeight="1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ht="13.5" customHeight="1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ht="13.5" customHeight="1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ht="13.5" customHeight="1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ht="13.5" customHeight="1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ht="13.5" customHeight="1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ht="13.5" customHeight="1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ht="13.5" customHeight="1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ht="13.5" customHeight="1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ht="13.5" customHeight="1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ht="13.5" customHeight="1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ht="13.5" customHeight="1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ht="13.5" customHeight="1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ht="13.5" customHeight="1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ht="13.5" customHeight="1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ht="13.5" customHeight="1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ht="13.5" customHeight="1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ht="13.5" customHeight="1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ht="13.5" customHeight="1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ht="13.5" customHeight="1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ht="13.5" customHeight="1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ht="13.5" customHeight="1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ht="13.5" customHeight="1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</sheetData>
  <mergeCells count="4">
    <mergeCell ref="A1:P1"/>
    <mergeCell ref="A3:J3"/>
    <mergeCell ref="D8:G8"/>
    <mergeCell ref="A14:B14"/>
  </mergeCells>
  <conditionalFormatting sqref="D9">
    <cfRule type="containsText" dxfId="0" priority="1" operator="containsText" text="Capital suficiente para invertir">
      <formula>NOT(ISERROR(SEARCH(("Capital suficiente para invertir"),(D9))))</formula>
    </cfRule>
  </conditionalFormatting>
  <conditionalFormatting sqref="D9">
    <cfRule type="containsText" dxfId="1" priority="2" operator="containsText" text="Capital insuficiente para invertir">
      <formula>NOT(ISERROR(SEARCH(("Capital insuficiente para invertir"),(D9))))</formula>
    </cfRule>
  </conditionalFormatting>
  <conditionalFormatting sqref="E9">
    <cfRule type="containsText" dxfId="0" priority="3" operator="containsText" text="Los proyectos elegidos son rentables">
      <formula>NOT(ISERROR(SEARCH(("Los proyectos elegidos son rentables"),(E9))))</formula>
    </cfRule>
  </conditionalFormatting>
  <conditionalFormatting sqref="E9">
    <cfRule type="containsText" dxfId="1" priority="4" operator="containsText" text="Al menos uno de los proyectos elegido no es rentable">
      <formula>NOT(ISERROR(SEARCH(("Al menos uno de los proyectos elegido no es rentable"),(E9))))</formula>
    </cfRule>
  </conditionalFormatting>
  <conditionalFormatting sqref="F9">
    <cfRule type="containsText" dxfId="0" priority="5" operator="containsText" text="La deuda se puede pagar">
      <formula>NOT(ISERROR(SEARCH(("La deuda se puede pagar"),(F9))))</formula>
    </cfRule>
  </conditionalFormatting>
  <conditionalFormatting sqref="F9">
    <cfRule type="containsText" dxfId="1" priority="6" operator="containsText" text="No es posible pagar la deuda">
      <formula>NOT(ISERROR(SEARCH(("No es posible pagar la deuda"),(F9))))</formula>
    </cfRule>
  </conditionalFormatting>
  <conditionalFormatting sqref="G9">
    <cfRule type="containsText" dxfId="0" priority="7" operator="containsText" text="Las ganancias son las esperadas después de pagar la deuda">
      <formula>NOT(ISERROR(SEARCH(("Las ganancias son las esperadas después de pagar la deuda"),(G9))))</formula>
    </cfRule>
  </conditionalFormatting>
  <conditionalFormatting sqref="G9">
    <cfRule type="containsText" dxfId="1" priority="8" operator="containsText" text="Después de pagar la deuda, no hay buenas ganancias">
      <formula>NOT(ISERROR(SEARCH(("Después de pagar la deuda, no hay buenas ganancias"),(G9))))</formula>
    </cfRule>
  </conditionalFormatting>
  <dataValidations>
    <dataValidation type="list" allowBlank="1" showErrorMessage="1" sqref="B9:B12">
      <formula1>Hoja2!$B$2:$B$3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26" width="10.71"/>
  </cols>
  <sheetData>
    <row r="1" ht="14.25" customHeight="1">
      <c r="B1" s="98" t="s">
        <v>115</v>
      </c>
    </row>
    <row r="2" ht="14.25" customHeight="1">
      <c r="B2" s="98" t="s">
        <v>111</v>
      </c>
    </row>
    <row r="3" ht="14.25" customHeight="1">
      <c r="B3" s="98" t="s">
        <v>112</v>
      </c>
    </row>
    <row r="4" ht="14.25" customHeight="1"/>
    <row r="5" ht="14.25" customHeight="1"/>
    <row r="6" ht="14.25" customHeight="1"/>
    <row r="7" ht="14.25" customHeight="1"/>
    <row r="8" ht="14.25" customHeight="1"/>
    <row r="9" ht="14.25" customHeight="1"/>
    <row r="10" ht="14.25" customHeight="1"/>
    <row r="11" ht="14.25" customHeight="1"/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2022-03-11T21:27:17Z</dcterms:created>
  <dc:creator>Juliana Flórez B.</dc:creator>
</cp:coreProperties>
</file>